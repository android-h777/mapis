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Y:\PA연구소.PA연구팀(KPA1036B0)\0. 연구원 개별 폴더\박지윤\"/>
    </mc:Choice>
  </mc:AlternateContent>
  <bookViews>
    <workbookView xWindow="0" yWindow="0" windowWidth="28800" windowHeight="12165"/>
  </bookViews>
  <sheets>
    <sheet name="일반" sheetId="1" r:id="rId1"/>
    <sheet name="일반-물성탭" sheetId="4" r:id="rId2"/>
    <sheet name="선반응(보류)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123Graph_A" localSheetId="2" hidden="1">'[1]배합비(99-05-25)'!#REF!</definedName>
    <definedName name="__123Graph_A" localSheetId="0" hidden="1">'[1]배합비(99-05-25)'!#REF!</definedName>
    <definedName name="__123Graph_A" localSheetId="1" hidden="1">'[1]배합비(99-05-25)'!#REF!</definedName>
    <definedName name="__123Graph_A" hidden="1">'[1]배합비(99-05-25)'!#REF!</definedName>
    <definedName name="__123Graph_B" localSheetId="2" hidden="1">'[1]배합비(99-05-25)'!#REF!</definedName>
    <definedName name="__123Graph_B" localSheetId="0" hidden="1">'[1]배합비(99-05-25)'!#REF!</definedName>
    <definedName name="__123Graph_B" localSheetId="1" hidden="1">'[1]배합비(99-05-25)'!#REF!</definedName>
    <definedName name="__123Graph_B" hidden="1">'[1]배합비(99-05-25)'!#REF!</definedName>
    <definedName name="__123Graph_D" localSheetId="2" hidden="1">[2]예산실적전체당월!#REF!</definedName>
    <definedName name="__123Graph_D" localSheetId="0" hidden="1">[2]예산실적전체당월!#REF!</definedName>
    <definedName name="__123Graph_D" localSheetId="1" hidden="1">[2]예산실적전체당월!#REF!</definedName>
    <definedName name="__123Graph_D" hidden="1">[3]예산실적전체당월!#REF!</definedName>
    <definedName name="__123Graph_X" localSheetId="2" hidden="1">'[1]배합비(99-05-25)'!#REF!</definedName>
    <definedName name="__123Graph_X" localSheetId="0" hidden="1">'[1]배합비(99-05-25)'!#REF!</definedName>
    <definedName name="__123Graph_X" localSheetId="1" hidden="1">'[1]배합비(99-05-25)'!#REF!</definedName>
    <definedName name="__123Graph_X" hidden="1">'[1]배합비(99-05-25)'!#REF!</definedName>
    <definedName name="_1__0_S" localSheetId="2" hidden="1">#REF!</definedName>
    <definedName name="_1__0_S" localSheetId="0" hidden="1">#REF!</definedName>
    <definedName name="_1__0_S" localSheetId="1" hidden="1">#REF!</definedName>
    <definedName name="_2__0_S" localSheetId="2" hidden="1">#REF!</definedName>
    <definedName name="_2__0_S" localSheetId="0" hidden="1">#REF!</definedName>
    <definedName name="_2__0_S" localSheetId="1" hidden="1">#REF!</definedName>
    <definedName name="_3__0_S" localSheetId="2" hidden="1">#REF!</definedName>
    <definedName name="_3__0_S" localSheetId="1" hidden="1">#REF!</definedName>
    <definedName name="_3__0_S" hidden="1">#REF!</definedName>
    <definedName name="_AAA334" localSheetId="2" hidden="1">'[1]배합비(99-05-25)'!#REF!</definedName>
    <definedName name="_AAA334" localSheetId="0" hidden="1">'[1]배합비(99-05-25)'!#REF!</definedName>
    <definedName name="_AAA334" localSheetId="1" hidden="1">'[1]배합비(99-05-25)'!#REF!</definedName>
    <definedName name="_AAA334" hidden="1">'[1]배합비(99-05-25)'!#REF!</definedName>
    <definedName name="_Fill" localSheetId="2" hidden="1">#REF!</definedName>
    <definedName name="_Fill" localSheetId="0" hidden="1">#REF!</definedName>
    <definedName name="_Fill" localSheetId="1" hidden="1">#REF!</definedName>
    <definedName name="_Fill" hidden="1">#REF!</definedName>
    <definedName name="_Key1" localSheetId="2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2" hidden="1">#REF!</definedName>
    <definedName name="_Key2" localSheetId="0" hidden="1">#REF!</definedName>
    <definedName name="_Key2" localSheetId="1" hidden="1">#REF!</definedName>
    <definedName name="_Key2" hidden="1">#REF!</definedName>
    <definedName name="_MatMult_AxB" localSheetId="2" hidden="1">#REF!</definedName>
    <definedName name="_MatMult_AxB" localSheetId="0" hidden="1">#REF!</definedName>
    <definedName name="_MatMult_AxB" localSheetId="1" hidden="1">#REF!</definedName>
    <definedName name="_MatMult_AxB" hidden="1">#REF!</definedName>
    <definedName name="_MatMult_B" localSheetId="2" hidden="1">#REF!</definedName>
    <definedName name="_MatMult_B" localSheetId="0" hidden="1">#REF!</definedName>
    <definedName name="_MatMult_B" localSheetId="1" hidden="1">#REF!</definedName>
    <definedName name="_MatMult_B" hidden="1">#REF!</definedName>
    <definedName name="_Order1" hidden="1">255</definedName>
    <definedName name="_Order2" hidden="1">255</definedName>
    <definedName name="_Parse_Out" localSheetId="2" hidden="1">#REF!</definedName>
    <definedName name="_Parse_Out" localSheetId="0" hidden="1">#REF!</definedName>
    <definedName name="_Parse_Out" localSheetId="1" hidden="1">#REF!</definedName>
    <definedName name="_Parse_Out" hidden="1">#REF!</definedName>
    <definedName name="_Regression_Out" localSheetId="2" hidden="1">#REF!</definedName>
    <definedName name="_Regression_Out" localSheetId="1" hidden="1">#REF!</definedName>
    <definedName name="_Regression_Out" hidden="1">#REF!</definedName>
    <definedName name="_Regression_X" localSheetId="2" hidden="1">#REF!</definedName>
    <definedName name="_Regression_X" localSheetId="1" hidden="1">#REF!</definedName>
    <definedName name="_Regression_X" hidden="1">#REF!</definedName>
    <definedName name="_Regression_Y" localSheetId="2" hidden="1">#REF!</definedName>
    <definedName name="_Regression_Y" localSheetId="1" hidden="1">#REF!</definedName>
    <definedName name="_Regression_Y" hidden="1">#REF!</definedName>
    <definedName name="_Sort" localSheetId="2" hidden="1">[4]수리결과!#REF!</definedName>
    <definedName name="_Sort" localSheetId="0" hidden="1">[4]수리결과!#REF!</definedName>
    <definedName name="_Sort" localSheetId="1" hidden="1">[4]수리결과!#REF!</definedName>
    <definedName name="_Sort" hidden="1">[4]수리결과!#REF!</definedName>
    <definedName name="A1_00근거" localSheetId="2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ccess_Button" hidden="1">"원판97_5월_List"</definedName>
    <definedName name="AccessDatabase" localSheetId="2" hidden="1">"C:\My Document\HJS_SW\XL_SHEET\원판\원판97.mdb"</definedName>
    <definedName name="AccessDatabase" localSheetId="0" hidden="1">"C:\My Document\HJS_SW\XL_SHEET\원판\원판97.mdb"</definedName>
    <definedName name="AccessDatabase" localSheetId="1" hidden="1">"C:\My Document\HJS_SW\XL_SHEET\원판\원판97.mdb"</definedName>
    <definedName name="AccessDatabase" hidden="1">"C:\My Documents\SCD\업무연락안양식.mdb"</definedName>
    <definedName name="CHART" hidden="1">[5]비주거용!$D$4:$D$16</definedName>
    <definedName name="DJ" localSheetId="2" hidden="1">{"'7-2지역별'!$A$1:$R$44"}</definedName>
    <definedName name="DJ" localSheetId="0" hidden="1">{"'7-2지역별'!$A$1:$R$44"}</definedName>
    <definedName name="DJ" localSheetId="1" hidden="1">{"'7-2지역별'!$A$1:$R$44"}</definedName>
    <definedName name="DJ" hidden="1">{"'7-2지역별'!$A$1:$R$44"}</definedName>
    <definedName name="efffffv" localSheetId="2" hidden="1">#REF!</definedName>
    <definedName name="efffffv" localSheetId="1" hidden="1">#REF!</definedName>
    <definedName name="efffffv" hidden="1">#REF!</definedName>
    <definedName name="GH" localSheetId="2" hidden="1">{"'7-2지역별'!$A$1:$R$44"}</definedName>
    <definedName name="GH" localSheetId="0" hidden="1">{"'7-2지역별'!$A$1:$R$44"}</definedName>
    <definedName name="GH" localSheetId="1" hidden="1">{"'7-2지역별'!$A$1:$R$44"}</definedName>
    <definedName name="GH" hidden="1">{"'7-2지역별'!$A$1:$R$44"}</definedName>
    <definedName name="GMB" localSheetId="2" hidden="1">#REF!</definedName>
    <definedName name="GMB" localSheetId="1" hidden="1">#REF!</definedName>
    <definedName name="GMB" hidden="1">#REF!</definedName>
    <definedName name="gmb용도" localSheetId="2" hidden="1">#REF!</definedName>
    <definedName name="gmb용도" localSheetId="1" hidden="1">#REF!</definedName>
    <definedName name="gmb용도" hidden="1">#REF!</definedName>
    <definedName name="HTML_CodePage" hidden="1">949</definedName>
    <definedName name="HTML_Control" localSheetId="2" hidden="1">{"'미분양(세부내역)'!$A$1:$K$104"}</definedName>
    <definedName name="HTML_Control" localSheetId="0" hidden="1">{"'미분양(세부내역)'!$A$1:$K$104"}</definedName>
    <definedName name="HTML_Control" localSheetId="1" hidden="1">{"'미분양(세부내역)'!$A$1:$K$104"}</definedName>
    <definedName name="HTML_Control" hidden="1">{"'미분양(세부내역)'!$A$1:$K$104"}</definedName>
    <definedName name="HTML_Description" hidden="1">""</definedName>
    <definedName name="HTML_Email" hidden="1">"house@provin.kyongnam.kr"</definedName>
    <definedName name="HTML_Header" hidden="1">""</definedName>
    <definedName name="HTML_LastUpdate" hidden="1">"00-04-17"</definedName>
    <definedName name="HTML_LineAfter" hidden="1">FALSE</definedName>
    <definedName name="HTML_LineBefore" hidden="1">FALSE</definedName>
    <definedName name="HTML_Name" hidden="1">"건축지도담당 김석춘"</definedName>
    <definedName name="HTML_OBDlg2" hidden="1">TRUE</definedName>
    <definedName name="HTML_OBDlg4" hidden="1">TRUE</definedName>
    <definedName name="HTML_OS" hidden="1">0</definedName>
    <definedName name="HTML_PathFile" hidden="1">"C:\My Documents\문서함\건축허가착공통계\200003통계\200003-h06.htm"</definedName>
    <definedName name="HTML_Title" hidden="1">"미분양주택 내역(시.군별)"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sdf" hidden="1">[6]GC산출!$B$51:$D$58</definedName>
    <definedName name="TT" localSheetId="2" hidden="1">{#N/A,#N/A,FALSE,"단축1";#N/A,#N/A,FALSE,"단축2";#N/A,#N/A,FALSE,"단축3";#N/A,#N/A,FALSE,"장축";#N/A,#N/A,FALSE,"4WD"}</definedName>
    <definedName name="TT" localSheetId="0" hidden="1">{#N/A,#N/A,FALSE,"단축1";#N/A,#N/A,FALSE,"단축2";#N/A,#N/A,FALSE,"단축3";#N/A,#N/A,FALSE,"장축";#N/A,#N/A,FALSE,"4WD"}</definedName>
    <definedName name="TT" localSheetId="1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uu" hidden="1">[7]조선용암면!$B$9:$C$16</definedName>
    <definedName name="WLVY" localSheetId="2" hidden="1">#REF!</definedName>
    <definedName name="WLVY" localSheetId="1" hidden="1">#REF!</definedName>
    <definedName name="WLVY" hidden="1">#REF!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거래선현황" localSheetId="2" hidden="1">{"'7-2지역별'!$A$1:$R$44"}</definedName>
    <definedName name="거래선현황" localSheetId="0" hidden="1">{"'7-2지역별'!$A$1:$R$44"}</definedName>
    <definedName name="거래선현황" localSheetId="1" hidden="1">{"'7-2지역별'!$A$1:$R$44"}</definedName>
    <definedName name="거래선현황" hidden="1">{"'7-2지역별'!$A$1:$R$44"}</definedName>
    <definedName name="건축" hidden="1">[8]비주거용!$D$4:$D$16</definedName>
    <definedName name="건축용집계" localSheetId="2" hidden="1">[9]산출근거!#REF!</definedName>
    <definedName name="건축용집계" localSheetId="0" hidden="1">[9]산출근거!#REF!</definedName>
    <definedName name="건축용집계" localSheetId="1" hidden="1">[9]산출근거!#REF!</definedName>
    <definedName name="건축용집계" hidden="1">[9]산출근거!#REF!</definedName>
    <definedName name="건축용총시장" localSheetId="2" hidden="1">{"'7-2지역별'!$A$1:$R$44"}</definedName>
    <definedName name="건축용총시장" localSheetId="0" hidden="1">{"'7-2지역별'!$A$1:$R$44"}</definedName>
    <definedName name="건축용총시장" localSheetId="1" hidden="1">{"'7-2지역별'!$A$1:$R$44"}</definedName>
    <definedName name="건축용총시장" hidden="1">{"'7-2지역별'!$A$1:$R$44"}</definedName>
    <definedName name="경제지표" hidden="1">[10]산출근거!$BF$6:$BF$15</definedName>
    <definedName name="ㄴㅇ" localSheetId="2" hidden="1">{"'7-2지역별'!$A$1:$R$44"}</definedName>
    <definedName name="ㄴㅇ" localSheetId="0" hidden="1">{"'7-2지역별'!$A$1:$R$44"}</definedName>
    <definedName name="ㄴㅇ" localSheetId="1" hidden="1">{"'7-2지역별'!$A$1:$R$44"}</definedName>
    <definedName name="ㄴㅇ" hidden="1">{"'7-2지역별'!$A$1:$R$44"}</definedName>
    <definedName name="ㄴㅇㅎㄴㅇㅎㄶㄴ" localSheetId="2" hidden="1">{#N/A,#N/A,FALSE,"단축1";#N/A,#N/A,FALSE,"단축2";#N/A,#N/A,FALSE,"단축3";#N/A,#N/A,FALSE,"장축";#N/A,#N/A,FALSE,"4WD"}</definedName>
    <definedName name="ㄴㅇㅎㄴㅇㅎㄶㄴ" localSheetId="0" hidden="1">{#N/A,#N/A,FALSE,"단축1";#N/A,#N/A,FALSE,"단축2";#N/A,#N/A,FALSE,"단축3";#N/A,#N/A,FALSE,"장축";#N/A,#N/A,FALSE,"4WD"}</definedName>
    <definedName name="ㄴㅇㅎㄴㅇㅎㄶㄴ" localSheetId="1" hidden="1">{#N/A,#N/A,FALSE,"단축1";#N/A,#N/A,FALSE,"단축2";#N/A,#N/A,FALSE,"단축3";#N/A,#N/A,FALSE,"장축";#N/A,#N/A,FALSE,"4WD"}</definedName>
    <definedName name="ㄴㅇㅎㄴㅇㅎㄶㄴ" hidden="1">{#N/A,#N/A,FALSE,"단축1";#N/A,#N/A,FALSE,"단축2";#N/A,#N/A,FALSE,"단축3";#N/A,#N/A,FALSE,"장축";#N/A,#N/A,FALSE,"4WD"}</definedName>
    <definedName name="내외장" hidden="1">'[11]95년기준조정'!$T$5:$T$5</definedName>
    <definedName name="내외장재" hidden="1">'[11]95년기준조정'!$J$5:$L$18</definedName>
    <definedName name="단열재" localSheetId="2" hidden="1">[12]MC산출근거!#REF!</definedName>
    <definedName name="단열재" localSheetId="0" hidden="1">[12]MC산출근거!#REF!</definedName>
    <definedName name="단열재" localSheetId="1" hidden="1">[12]MC산출근거!#REF!</definedName>
    <definedName name="단열재" hidden="1">[12]MC산출근거!#REF!</definedName>
    <definedName name="당사" localSheetId="2" hidden="1">{"'7-2지역별'!$A$1:$R$44"}</definedName>
    <definedName name="당사" localSheetId="0" hidden="1">{"'7-2지역별'!$A$1:$R$44"}</definedName>
    <definedName name="당사" localSheetId="1" hidden="1">{"'7-2지역별'!$A$1:$R$44"}</definedName>
    <definedName name="당사" hidden="1">{"'7-2지역별'!$A$1:$R$44"}</definedName>
    <definedName name="대리점운영계획" localSheetId="2" hidden="1">{"'7-2지역별'!$A$1:$R$44"}</definedName>
    <definedName name="대리점운영계획" localSheetId="0" hidden="1">{"'7-2지역별'!$A$1:$R$44"}</definedName>
    <definedName name="대리점운영계획" localSheetId="1" hidden="1">{"'7-2지역별'!$A$1:$R$44"}</definedName>
    <definedName name="대리점운영계획" hidden="1">{"'7-2지역별'!$A$1:$R$44"}</definedName>
    <definedName name="대책" localSheetId="2" hidden="1">{"'7-2지역별'!$A$1:$R$44"}</definedName>
    <definedName name="대책" localSheetId="0" hidden="1">{"'7-2지역별'!$A$1:$R$44"}</definedName>
    <definedName name="대책" localSheetId="1" hidden="1">{"'7-2지역별'!$A$1:$R$44"}</definedName>
    <definedName name="대책" hidden="1">{"'7-2지역별'!$A$1:$R$44"}</definedName>
    <definedName name="도로수주" localSheetId="2" hidden="1">{"'7-2지역별'!$A$1:$R$44"}</definedName>
    <definedName name="도로수주" localSheetId="0" hidden="1">{"'7-2지역별'!$A$1:$R$44"}</definedName>
    <definedName name="도로수주" localSheetId="1" hidden="1">{"'7-2지역별'!$A$1:$R$44"}</definedName>
    <definedName name="도로수주" hidden="1">{"'7-2지역별'!$A$1:$R$44"}</definedName>
    <definedName name="ㅁ" localSheetId="2" hidden="1">{#N/A,#N/A,FALSE,"단축1";#N/A,#N/A,FALSE,"단축2";#N/A,#N/A,FALSE,"단축3";#N/A,#N/A,FALSE,"장축";#N/A,#N/A,FALSE,"4WD"}</definedName>
    <definedName name="ㅁ" localSheetId="0" hidden="1">{#N/A,#N/A,FALSE,"단축1";#N/A,#N/A,FALSE,"단축2";#N/A,#N/A,FALSE,"단축3";#N/A,#N/A,FALSE,"장축";#N/A,#N/A,FALSE,"4WD"}</definedName>
    <definedName name="ㅁ" localSheetId="1" hidden="1">{#N/A,#N/A,FALSE,"단축1";#N/A,#N/A,FALSE,"단축2";#N/A,#N/A,FALSE,"단축3";#N/A,#N/A,FALSE,"장축";#N/A,#N/A,FALSE,"4WD"}</definedName>
    <definedName name="ㅁ" hidden="1">{#N/A,#N/A,FALSE,"단축1";#N/A,#N/A,FALSE,"단축2";#N/A,#N/A,FALSE,"단축3";#N/A,#N/A,FALSE,"장축";#N/A,#N/A,FALSE,"4WD"}</definedName>
    <definedName name="ㅁㄴㅇ" localSheetId="2" hidden="1">{#N/A,#N/A,FALSE,"단축1";#N/A,#N/A,FALSE,"단축2";#N/A,#N/A,FALSE,"단축3";#N/A,#N/A,FALSE,"장축";#N/A,#N/A,FALSE,"4WD"}</definedName>
    <definedName name="ㅁㄴㅇ" localSheetId="0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ㅁㅁ" localSheetId="2" hidden="1">[4]수리결과!#REF!</definedName>
    <definedName name="ㅁㅁㅁ" localSheetId="0" hidden="1">[4]수리결과!#REF!</definedName>
    <definedName name="ㅁㅁㅁ" localSheetId="1" hidden="1">[4]수리결과!#REF!</definedName>
    <definedName name="ㅁㅁㅁ" hidden="1">[4]수리결과!#REF!</definedName>
    <definedName name="미진" localSheetId="2" hidden="1">{"'7-2지역별'!$A$1:$R$44"}</definedName>
    <definedName name="미진" localSheetId="0" hidden="1">{"'7-2지역별'!$A$1:$R$44"}</definedName>
    <definedName name="미진" localSheetId="1" hidden="1">{"'7-2지역별'!$A$1:$R$44"}</definedName>
    <definedName name="미진" hidden="1">{"'7-2지역별'!$A$1:$R$44"}</definedName>
    <definedName name="바보" hidden="1">[13]비주거용!$D$4:$D$16</definedName>
    <definedName name="배합비하반기2000" localSheetId="2" hidden="1">#REF!</definedName>
    <definedName name="배합비하반기2000" localSheetId="0" hidden="1">#REF!</definedName>
    <definedName name="배합비하반기2000" localSheetId="1" hidden="1">#REF!</definedName>
    <definedName name="배합비하반기2000" hidden="1">#REF!</definedName>
    <definedName name="보고서표지" localSheetId="2" hidden="1">{"'7-2지역별'!$A$1:$R$44"}</definedName>
    <definedName name="보고서표지" localSheetId="0" hidden="1">{"'7-2지역별'!$A$1:$R$44"}</definedName>
    <definedName name="보고서표지" localSheetId="1" hidden="1">{"'7-2지역별'!$A$1:$R$44"}</definedName>
    <definedName name="보고서표지" hidden="1">{"'7-2지역별'!$A$1:$R$44"}</definedName>
    <definedName name="보온재" localSheetId="2" hidden="1">[12]MC산출근거!#REF!</definedName>
    <definedName name="보온재" localSheetId="0" hidden="1">[12]MC산출근거!#REF!</definedName>
    <definedName name="보온재" localSheetId="1" hidden="1">[12]MC산출근거!#REF!</definedName>
    <definedName name="보온재" hidden="1">[12]MC산출근거!#REF!</definedName>
    <definedName name="보증일반환산" localSheetId="2" hidden="1">[14]수리결과!#REF!</definedName>
    <definedName name="보증일반환산" localSheetId="0" hidden="1">[14]수리결과!#REF!</definedName>
    <definedName name="보증일반환산" localSheetId="1" hidden="1">[14]수리결과!#REF!</definedName>
    <definedName name="보증일반환산" hidden="1">[14]수리결과!#REF!</definedName>
    <definedName name="분석" localSheetId="2" hidden="1">{"'7-2지역별'!$A$1:$R$44"}</definedName>
    <definedName name="분석" localSheetId="0" hidden="1">{"'7-2지역별'!$A$1:$R$44"}</definedName>
    <definedName name="분석" localSheetId="1" hidden="1">{"'7-2지역별'!$A$1:$R$44"}</definedName>
    <definedName name="분석" hidden="1">{"'7-2지역별'!$A$1:$R$44"}</definedName>
    <definedName name="분체불만" localSheetId="2" hidden="1">[2]예산실적전체당월!#REF!</definedName>
    <definedName name="분체불만" localSheetId="0" hidden="1">[2]예산실적전체당월!#REF!</definedName>
    <definedName name="분체불만" localSheetId="1" hidden="1">[2]예산실적전체당월!#REF!</definedName>
    <definedName name="분체불만" hidden="1">[3]예산실적전체당월!#REF!</definedName>
    <definedName name="산출" hidden="1">[7]조선용암면!$D$9:$D$16</definedName>
    <definedName name="산출2" hidden="1">[7]조선용암면!$B$9:$C$16</definedName>
    <definedName name="산출3" hidden="1">[7]조선용암면!$D$9:$D$16</definedName>
    <definedName name="산출4" hidden="1">[7]조선용암면!$A$22:$A$22</definedName>
    <definedName name="산출5" hidden="1">[7]조선용암면!$D$9:$D$16</definedName>
    <definedName name="산출근거2" localSheetId="2" hidden="1">{"'7-2지역별'!$A$1:$R$44"}</definedName>
    <definedName name="산출근거2" localSheetId="0" hidden="1">{"'7-2지역별'!$A$1:$R$44"}</definedName>
    <definedName name="산출근거2" localSheetId="1" hidden="1">{"'7-2지역별'!$A$1:$R$44"}</definedName>
    <definedName name="산출근거2" hidden="1">{"'7-2지역별'!$A$1:$R$44"}</definedName>
    <definedName name="상반기배합비" localSheetId="2" hidden="1">'[1]배합비(99-05-25)'!#REF!</definedName>
    <definedName name="상반기배합비" localSheetId="0" hidden="1">'[1]배합비(99-05-25)'!#REF!</definedName>
    <definedName name="상반기배합비" localSheetId="1" hidden="1">'[1]배합비(99-05-25)'!#REF!</definedName>
    <definedName name="상반기배합비" hidden="1">'[1]배합비(99-05-25)'!#REF!</definedName>
    <definedName name="셀리카" localSheetId="2" hidden="1">#REF!</definedName>
    <definedName name="셀리카" localSheetId="0" hidden="1">#REF!</definedName>
    <definedName name="셀리카" localSheetId="1" hidden="1">#REF!</definedName>
    <definedName name="셀리카" hidden="1">#REF!</definedName>
    <definedName name="수급" localSheetId="2" hidden="1">#REF!</definedName>
    <definedName name="수급" localSheetId="1" hidden="1">#REF!</definedName>
    <definedName name="수급" hidden="1">#REF!</definedName>
    <definedName name="수정건재" localSheetId="2" hidden="1">#REF!</definedName>
    <definedName name="수정건재" localSheetId="1" hidden="1">#REF!</definedName>
    <definedName name="수정건재" hidden="1">#REF!</definedName>
    <definedName name="수정비교" localSheetId="2" hidden="1">[15]MC산출근거!#REF!</definedName>
    <definedName name="수정비교" localSheetId="0" hidden="1">[15]MC산출근거!#REF!</definedName>
    <definedName name="수정비교" localSheetId="1" hidden="1">[15]MC산출근거!#REF!</definedName>
    <definedName name="수정비교" hidden="1">[15]MC산출근거!#REF!</definedName>
    <definedName name="시장문제점및대책" localSheetId="2" hidden="1">{"'7-2지역별'!$A$1:$R$44"}</definedName>
    <definedName name="시장문제점및대책" localSheetId="0" hidden="1">{"'7-2지역별'!$A$1:$R$44"}</definedName>
    <definedName name="시장문제점및대책" localSheetId="1" hidden="1">{"'7-2지역별'!$A$1:$R$44"}</definedName>
    <definedName name="시장문제점및대책" hidden="1">{"'7-2지역별'!$A$1:$R$44"}</definedName>
    <definedName name="우" hidden="1">[16]GC산출!$B$51:$D$58</definedName>
    <definedName name="운영1" localSheetId="2" hidden="1">{"'7-2지역별'!$A$1:$R$44"}</definedName>
    <definedName name="운영1" localSheetId="0" hidden="1">{"'7-2지역별'!$A$1:$R$44"}</definedName>
    <definedName name="운영1" localSheetId="1" hidden="1">{"'7-2지역별'!$A$1:$R$44"}</definedName>
    <definedName name="운영1" hidden="1">{"'7-2지역별'!$A$1:$R$44"}</definedName>
    <definedName name="원반" localSheetId="2" hidden="1">#REF!</definedName>
    <definedName name="원반" localSheetId="0" hidden="1">#REF!</definedName>
    <definedName name="원반" localSheetId="1" hidden="1">#REF!</definedName>
    <definedName name="원반" hidden="1">#REF!</definedName>
    <definedName name="원본2" localSheetId="2" hidden="1">#REF!</definedName>
    <definedName name="원본2" localSheetId="0" hidden="1">#REF!</definedName>
    <definedName name="원본2" localSheetId="1" hidden="1">#REF!</definedName>
    <definedName name="원본2" hidden="1">#REF!</definedName>
    <definedName name="원재료" localSheetId="2" hidden="1">#REF!</definedName>
    <definedName name="원재료" localSheetId="0" hidden="1">#REF!</definedName>
    <definedName name="원재료" localSheetId="1" hidden="1">#REF!</definedName>
    <definedName name="원재료" hidden="1">#REF!</definedName>
    <definedName name="윧" hidden="1">[16]GC산출!$B$51:$D$58</definedName>
    <definedName name="인원" localSheetId="2" hidden="1">[2]예산실적전체당월!#REF!</definedName>
    <definedName name="인원" localSheetId="0" hidden="1">[2]예산실적전체당월!#REF!</definedName>
    <definedName name="인원" localSheetId="1" hidden="1">[2]예산실적전체당월!#REF!</definedName>
    <definedName name="인원" hidden="1">[3]예산실적전체당월!#REF!</definedName>
    <definedName name="장기수급" localSheetId="2" hidden="1">#REF!</definedName>
    <definedName name="장기수급" localSheetId="1" hidden="1">#REF!</definedName>
    <definedName name="장기수급" hidden="1">#REF!</definedName>
    <definedName name="전기" localSheetId="2" hidden="1">#REF!</definedName>
    <definedName name="전기" localSheetId="0" hidden="1">#REF!</definedName>
    <definedName name="전기" localSheetId="1" hidden="1">#REF!</definedName>
    <definedName name="전기" hidden="1">#REF!</definedName>
    <definedName name="제품현황" localSheetId="2" hidden="1">[17]제품원재!#REF!</definedName>
    <definedName name="제품현황" localSheetId="0" hidden="1">[17]제품원재!#REF!</definedName>
    <definedName name="제품현황" localSheetId="1" hidden="1">[17]제품원재!#REF!</definedName>
    <definedName name="제품현황" hidden="1">[17]제품원재!#REF!</definedName>
    <definedName name="주거용" hidden="1">[5]비주거용!$D$4:$D$16</definedName>
    <definedName name="지표" localSheetId="2" hidden="1">#REF!</definedName>
    <definedName name="지표" localSheetId="1" hidden="1">#REF!</definedName>
    <definedName name="지표" hidden="1">#REF!</definedName>
    <definedName name="지표2" localSheetId="2" hidden="1">#REF!</definedName>
    <definedName name="지표2" localSheetId="1" hidden="1">#REF!</definedName>
    <definedName name="지표2" hidden="1">#REF!</definedName>
    <definedName name="집계" hidden="1">[18]산출근거!$BH$17:$BH$17</definedName>
    <definedName name="집계표1" localSheetId="2" hidden="1">{"'7-2지역별'!$A$1:$R$44"}</definedName>
    <definedName name="집계표1" localSheetId="0" hidden="1">{"'7-2지역별'!$A$1:$R$44"}</definedName>
    <definedName name="집계표1" localSheetId="1" hidden="1">{"'7-2지역별'!$A$1:$R$44"}</definedName>
    <definedName name="집계표1" hidden="1">{"'7-2지역별'!$A$1:$R$44"}</definedName>
    <definedName name="집계표2" localSheetId="2" hidden="1">{"'7-2지역별'!$A$1:$R$44"}</definedName>
    <definedName name="집계표2" localSheetId="0" hidden="1">{"'7-2지역별'!$A$1:$R$44"}</definedName>
    <definedName name="집계표2" localSheetId="1" hidden="1">{"'7-2지역별'!$A$1:$R$44"}</definedName>
    <definedName name="집계표2" hidden="1">{"'7-2지역별'!$A$1:$R$44"}</definedName>
    <definedName name="취소" localSheetId="2" hidden="1">{"'7-2지역별'!$A$1:$R$44"}</definedName>
    <definedName name="취소" localSheetId="0" hidden="1">{"'7-2지역별'!$A$1:$R$44"}</definedName>
    <definedName name="취소" localSheetId="1" hidden="1">{"'7-2지역별'!$A$1:$R$44"}</definedName>
    <definedName name="취소" hidden="1">{"'7-2지역별'!$A$1:$R$44"}</definedName>
    <definedName name="ㅋㅋㅋㅋㅋㅋㅋㅋㅋㅋㅋㅋㅋㅋㅋㅋ" localSheetId="2" hidden="1">{"'7-2지역별'!$A$1:$R$44"}</definedName>
    <definedName name="ㅋㅋㅋㅋㅋㅋㅋㅋㅋㅋㅋㅋㅋㅋㅋㅋ" localSheetId="0" hidden="1">{"'7-2지역별'!$A$1:$R$44"}</definedName>
    <definedName name="ㅋㅋㅋㅋㅋㅋㅋㅋㅋㅋㅋㅋㅋㅋㅋㅋ" localSheetId="1" hidden="1">{"'7-2지역별'!$A$1:$R$44"}</definedName>
    <definedName name="ㅋㅋㅋㅋㅋㅋㅋㅋㅋㅋㅋㅋㅋㅋㅋㅋ" hidden="1">{"'7-2지역별'!$A$1:$R$44"}</definedName>
    <definedName name="타사" localSheetId="2" hidden="1">{"'7-2지역별'!$A$1:$R$44"}</definedName>
    <definedName name="타사" localSheetId="0" hidden="1">{"'7-2지역별'!$A$1:$R$44"}</definedName>
    <definedName name="타사" localSheetId="1" hidden="1">{"'7-2지역별'!$A$1:$R$44"}</definedName>
    <definedName name="타사" hidden="1">{"'7-2지역별'!$A$1:$R$44"}</definedName>
    <definedName name="타사거래선" localSheetId="2" hidden="1">{"'7-2지역별'!$A$1:$R$44"}</definedName>
    <definedName name="타사거래선" localSheetId="0" hidden="1">{"'7-2지역별'!$A$1:$R$44"}</definedName>
    <definedName name="타사거래선" localSheetId="1" hidden="1">{"'7-2지역별'!$A$1:$R$44"}</definedName>
    <definedName name="타사거래선" hidden="1">{"'7-2지역별'!$A$1:$R$44"}</definedName>
    <definedName name="판촉안" hidden="1">[19]비주거용!$D$4:$D$16</definedName>
    <definedName name="판촉조정안" localSheetId="2" hidden="1">{"'7-2지역별'!$A$1:$R$44"}</definedName>
    <definedName name="판촉조정안" localSheetId="0" hidden="1">{"'7-2지역별'!$A$1:$R$44"}</definedName>
    <definedName name="판촉조정안" localSheetId="1" hidden="1">{"'7-2지역별'!$A$1:$R$44"}</definedName>
    <definedName name="판촉조정안" hidden="1">{"'7-2지역별'!$A$1:$R$44"}</definedName>
    <definedName name="판촉현황" localSheetId="2" hidden="1">{"'7-2지역별'!$A$1:$R$44"}</definedName>
    <definedName name="판촉현황" localSheetId="0" hidden="1">{"'7-2지역별'!$A$1:$R$44"}</definedName>
    <definedName name="판촉현황" localSheetId="1" hidden="1">{"'7-2지역별'!$A$1:$R$44"}</definedName>
    <definedName name="판촉현황" hidden="1">{"'7-2지역별'!$A$1:$R$44"}</definedName>
    <definedName name="평균이자율" localSheetId="2" hidden="1">[20]이자율!#REF!</definedName>
    <definedName name="평균이자율" localSheetId="0" hidden="1">[20]이자율!#REF!</definedName>
    <definedName name="평균이자율" localSheetId="1" hidden="1">[20]이자율!#REF!</definedName>
    <definedName name="평균이자율" hidden="1">[20]이자율!#REF!</definedName>
    <definedName name="표지" localSheetId="2" hidden="1">{"'7-2지역별'!$A$1:$R$44"}</definedName>
    <definedName name="표지" localSheetId="0" hidden="1">{"'7-2지역별'!$A$1:$R$44"}</definedName>
    <definedName name="표지" localSheetId="1" hidden="1">{"'7-2지역별'!$A$1:$R$44"}</definedName>
    <definedName name="표지" hidden="1">{"'7-2지역별'!$A$1:$R$44"}</definedName>
    <definedName name="표지2" localSheetId="2" hidden="1">{"'7-2지역별'!$A$1:$R$44"}</definedName>
    <definedName name="표지2" localSheetId="0" hidden="1">{"'7-2지역별'!$A$1:$R$44"}</definedName>
    <definedName name="표지2" localSheetId="1" hidden="1">{"'7-2지역별'!$A$1:$R$44"}</definedName>
    <definedName name="표지2" hidden="1">{"'7-2지역별'!$A$1:$R$44"}</definedName>
    <definedName name="플랜트도료시장현황문제점" localSheetId="2" hidden="1">{"'7-2지역별'!$A$1:$R$44"}</definedName>
    <definedName name="플랜트도료시장현황문제점" localSheetId="0" hidden="1">{"'7-2지역별'!$A$1:$R$44"}</definedName>
    <definedName name="플랜트도료시장현황문제점" localSheetId="1" hidden="1">{"'7-2지역별'!$A$1:$R$44"}</definedName>
    <definedName name="플랜트도료시장현황문제점" hidden="1">{"'7-2지역별'!$A$1:$R$44"}</definedName>
    <definedName name="하반기계획" localSheetId="2" hidden="1">{#N/A,#N/A,FALSE,"단축1";#N/A,#N/A,FALSE,"단축2";#N/A,#N/A,FALSE,"단축3";#N/A,#N/A,FALSE,"장축";#N/A,#N/A,FALSE,"4WD"}</definedName>
    <definedName name="하반기계획" localSheetId="0" hidden="1">{#N/A,#N/A,FALSE,"단축1";#N/A,#N/A,FALSE,"단축2";#N/A,#N/A,FALSE,"단축3";#N/A,#N/A,FALSE,"장축";#N/A,#N/A,FALSE,"4WD"}</definedName>
    <definedName name="하반기계획" localSheetId="1" hidden="1">{#N/A,#N/A,FALSE,"단축1";#N/A,#N/A,FALSE,"단축2";#N/A,#N/A,FALSE,"단축3";#N/A,#N/A,FALSE,"장축";#N/A,#N/A,FALSE,"4WD"}</definedName>
    <definedName name="하반기계획" hidden="1">{#N/A,#N/A,FALSE,"단축1";#N/A,#N/A,FALSE,"단축2";#N/A,#N/A,FALSE,"단축3";#N/A,#N/A,FALSE,"장축";#N/A,#N/A,FALSE,"4WD"}</definedName>
    <definedName name="확인" localSheetId="2" hidden="1">{"'7-2지역별'!$A$1:$R$44"}</definedName>
    <definedName name="확인" localSheetId="0" hidden="1">{"'7-2지역별'!$A$1:$R$44"}</definedName>
    <definedName name="확인" localSheetId="1" hidden="1">{"'7-2지역별'!$A$1:$R$44"}</definedName>
    <definedName name="확인" hidden="1">{"'7-2지역별'!$A$1:$R$44"}</definedName>
    <definedName name="ㅏㅓ" localSheetId="2" hidden="1">{"'7-2지역별'!$A$1:$R$44"}</definedName>
    <definedName name="ㅏㅓ" localSheetId="0" hidden="1">{"'7-2지역별'!$A$1:$R$44"}</definedName>
    <definedName name="ㅏㅓ" localSheetId="1" hidden="1">{"'7-2지역별'!$A$1:$R$44"}</definedName>
    <definedName name="ㅏㅓ" hidden="1">{"'7-2지역별'!$A$1:$R$44"}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" i="4" l="1"/>
  <c r="U5" i="4"/>
  <c r="T5" i="4"/>
  <c r="S5" i="4"/>
  <c r="V3" i="4"/>
  <c r="U3" i="4"/>
  <c r="T3" i="4"/>
  <c r="S3" i="4"/>
  <c r="AD5" i="4"/>
  <c r="AC5" i="4"/>
  <c r="AB5" i="4"/>
  <c r="AA5" i="4"/>
  <c r="Z5" i="4"/>
  <c r="Y5" i="4"/>
  <c r="X5" i="4"/>
  <c r="W5" i="4"/>
  <c r="R5" i="4"/>
  <c r="AE3" i="4"/>
  <c r="AD3" i="4"/>
  <c r="AC3" i="4"/>
  <c r="AB3" i="4"/>
  <c r="AA3" i="4"/>
  <c r="Z3" i="4"/>
  <c r="Y3" i="4"/>
  <c r="X3" i="4"/>
  <c r="W3" i="4"/>
  <c r="R3" i="4"/>
  <c r="Q5" i="4"/>
  <c r="P5" i="4"/>
  <c r="O5" i="4"/>
  <c r="N5" i="4"/>
  <c r="M5" i="4"/>
  <c r="L5" i="4"/>
  <c r="J5" i="4"/>
  <c r="I5" i="4"/>
  <c r="H5" i="4"/>
  <c r="J4" i="4"/>
  <c r="I4" i="4"/>
  <c r="H4" i="4"/>
  <c r="F5" i="4"/>
  <c r="E5" i="4"/>
  <c r="D5" i="4"/>
  <c r="F4" i="4"/>
  <c r="E4" i="4"/>
  <c r="D4" i="4"/>
  <c r="C5" i="4"/>
  <c r="K14" i="1"/>
  <c r="M14" i="1" s="1"/>
  <c r="K13" i="1"/>
  <c r="M13" i="1" s="1"/>
  <c r="M5" i="1"/>
  <c r="M3" i="1"/>
  <c r="K15" i="1" s="1"/>
  <c r="M15" i="1" s="1"/>
  <c r="G17" i="2"/>
  <c r="G16" i="2"/>
  <c r="I6" i="2"/>
  <c r="I4" i="2"/>
  <c r="G18" i="2" s="1"/>
  <c r="G5" i="2" s="1"/>
  <c r="G7" i="2" s="1"/>
  <c r="G14" i="1"/>
  <c r="I14" i="1" s="1"/>
  <c r="G13" i="1"/>
  <c r="I13" i="1" s="1"/>
  <c r="I5" i="1"/>
  <c r="I3" i="1"/>
  <c r="G15" i="1" s="1"/>
  <c r="I15" i="1" s="1"/>
  <c r="G4" i="1" l="1"/>
  <c r="K4" i="1"/>
  <c r="K6" i="1" s="1"/>
  <c r="G19" i="2"/>
  <c r="G28" i="2"/>
  <c r="G29" i="2"/>
  <c r="G25" i="2"/>
  <c r="G23" i="2"/>
  <c r="G22" i="2"/>
  <c r="G24" i="2"/>
  <c r="G26" i="2" s="1"/>
  <c r="G34" i="2"/>
  <c r="G33" i="2"/>
  <c r="G31" i="2"/>
  <c r="G32" i="2"/>
  <c r="G6" i="1"/>
  <c r="G18" i="1" s="1"/>
  <c r="G17" i="1" l="1"/>
  <c r="G16" i="1"/>
  <c r="K17" i="1"/>
  <c r="M17" i="1" s="1"/>
  <c r="K16" i="1"/>
  <c r="M16" i="1" s="1"/>
  <c r="K18" i="1"/>
  <c r="M18" i="1" s="1"/>
  <c r="G35" i="2"/>
  <c r="G36" i="2" s="1"/>
  <c r="G27" i="2"/>
  <c r="K19" i="1" l="1"/>
  <c r="M19" i="1" s="1"/>
  <c r="K26" i="1"/>
  <c r="M26" i="1" s="1"/>
  <c r="K20" i="1"/>
  <c r="M20" i="1" s="1"/>
  <c r="I16" i="1"/>
  <c r="I17" i="1"/>
  <c r="I18" i="1"/>
  <c r="G26" i="1"/>
  <c r="G20" i="1"/>
  <c r="G19" i="1"/>
  <c r="K23" i="1" l="1"/>
  <c r="M23" i="1" s="1"/>
  <c r="K21" i="1"/>
  <c r="M21" i="1" s="1"/>
  <c r="K22" i="1"/>
  <c r="G21" i="1"/>
  <c r="I19" i="1"/>
  <c r="G23" i="1"/>
  <c r="I20" i="1"/>
  <c r="I26" i="1"/>
  <c r="G22" i="1"/>
  <c r="G24" i="1"/>
  <c r="M22" i="1" l="1"/>
  <c r="K24" i="1"/>
  <c r="M24" i="1" s="1"/>
  <c r="G25" i="1"/>
  <c r="G27" i="1" s="1"/>
  <c r="I21" i="1"/>
  <c r="I22" i="1" s="1"/>
  <c r="I24" i="1"/>
  <c r="I23" i="1"/>
  <c r="H23" i="1" l="1"/>
  <c r="L15" i="1"/>
  <c r="L14" i="1"/>
  <c r="L13" i="1"/>
  <c r="L18" i="1"/>
  <c r="L17" i="1"/>
  <c r="L16" i="1"/>
  <c r="L26" i="1"/>
  <c r="L19" i="1"/>
  <c r="L20" i="1"/>
  <c r="J26" i="1"/>
  <c r="N26" i="1"/>
  <c r="N23" i="1"/>
  <c r="L23" i="1"/>
  <c r="L21" i="1"/>
  <c r="L22" i="1" s="1"/>
  <c r="N24" i="1"/>
  <c r="L24" i="1"/>
  <c r="K25" i="1"/>
  <c r="I25" i="1"/>
  <c r="J25" i="1" s="1"/>
  <c r="J23" i="1"/>
  <c r="J24" i="1"/>
  <c r="H14" i="1"/>
  <c r="H16" i="1"/>
  <c r="H17" i="1"/>
  <c r="H18" i="1"/>
  <c r="H26" i="1"/>
  <c r="H19" i="1"/>
  <c r="H20" i="1"/>
  <c r="H24" i="1"/>
  <c r="H21" i="1"/>
  <c r="H25" i="1"/>
  <c r="H13" i="1"/>
  <c r="H15" i="1"/>
  <c r="I11" i="1"/>
  <c r="G11" i="1"/>
  <c r="H11" i="1"/>
  <c r="K27" i="1" l="1"/>
  <c r="K11" i="1" s="1"/>
  <c r="M25" i="1"/>
  <c r="N25" i="1"/>
  <c r="L25" i="1"/>
  <c r="M27" i="1"/>
  <c r="I27" i="1"/>
  <c r="H22" i="1"/>
  <c r="L11" i="1" l="1"/>
  <c r="M11" i="1"/>
</calcChain>
</file>

<file path=xl/sharedStrings.xml><?xml version="1.0" encoding="utf-8"?>
<sst xmlns="http://schemas.openxmlformats.org/spreadsheetml/2006/main" count="153" uniqueCount="95">
  <si>
    <t>CSF04376</t>
    <phoneticPr fontId="4" type="noConversion"/>
  </si>
  <si>
    <t>Pt VTSC 1.0PS</t>
    <phoneticPr fontId="4" type="noConversion"/>
  </si>
  <si>
    <t>AEG02525</t>
    <phoneticPr fontId="4" type="noConversion"/>
  </si>
  <si>
    <t>CSF01489</t>
    <phoneticPr fontId="4" type="noConversion"/>
  </si>
  <si>
    <t>CSF01627</t>
    <phoneticPr fontId="4" type="noConversion"/>
  </si>
  <si>
    <t>CSF01234</t>
    <phoneticPr fontId="4" type="noConversion"/>
  </si>
  <si>
    <t>원료유형</t>
    <phoneticPr fontId="3" type="noConversion"/>
  </si>
  <si>
    <t>사전반응</t>
    <phoneticPr fontId="3" type="noConversion"/>
  </si>
  <si>
    <t>H-Polymer</t>
    <phoneticPr fontId="3" type="noConversion"/>
  </si>
  <si>
    <t>배합설계</t>
    <phoneticPr fontId="3" type="noConversion"/>
  </si>
  <si>
    <t>제조단계</t>
    <phoneticPr fontId="3" type="noConversion"/>
  </si>
  <si>
    <t>명칭</t>
    <phoneticPr fontId="3" type="noConversion"/>
  </si>
  <si>
    <t>코드</t>
    <phoneticPr fontId="3" type="noConversion"/>
  </si>
  <si>
    <t>관능기함량
(mmol/g)</t>
    <phoneticPr fontId="3" type="noConversion"/>
  </si>
  <si>
    <t xml:space="preserve">Vi / H ratio =  </t>
    <phoneticPr fontId="4" type="noConversion"/>
  </si>
  <si>
    <t xml:space="preserve">H-polymer weight ratio =  </t>
    <phoneticPr fontId="4" type="noConversion"/>
  </si>
  <si>
    <t>Vi-Polymer</t>
    <phoneticPr fontId="3" type="noConversion"/>
  </si>
  <si>
    <t xml:space="preserve">Vi-Polymer mol ratio =  </t>
    <phoneticPr fontId="4" type="noConversion"/>
  </si>
  <si>
    <t xml:space="preserve">H-Polymer total mmol = </t>
    <phoneticPr fontId="3" type="noConversion"/>
  </si>
  <si>
    <t xml:space="preserve">Vi-Polymer total mmol = </t>
    <phoneticPr fontId="3" type="noConversion"/>
  </si>
  <si>
    <t>Catalyst</t>
    <phoneticPr fontId="3" type="noConversion"/>
  </si>
  <si>
    <t xml:space="preserve">Catalyst contents (1차, 2차), ppm =  </t>
    <phoneticPr fontId="4" type="noConversion"/>
  </si>
  <si>
    <t>Solvent</t>
    <phoneticPr fontId="3" type="noConversion"/>
  </si>
  <si>
    <t>Base Oil</t>
    <phoneticPr fontId="3" type="noConversion"/>
  </si>
  <si>
    <t>H1</t>
    <phoneticPr fontId="4" type="noConversion"/>
  </si>
  <si>
    <t>H2</t>
    <phoneticPr fontId="4" type="noConversion"/>
  </si>
  <si>
    <t>H3</t>
    <phoneticPr fontId="4" type="noConversion"/>
  </si>
  <si>
    <t>V1</t>
    <phoneticPr fontId="4" type="noConversion"/>
  </si>
  <si>
    <t>S1</t>
    <phoneticPr fontId="3" type="noConversion"/>
  </si>
  <si>
    <t>B1</t>
    <phoneticPr fontId="3" type="noConversion"/>
  </si>
  <si>
    <t>V2</t>
    <phoneticPr fontId="4" type="noConversion"/>
  </si>
  <si>
    <t>V3</t>
    <phoneticPr fontId="3" type="noConversion"/>
  </si>
  <si>
    <t>S1</t>
    <phoneticPr fontId="3" type="noConversion"/>
  </si>
  <si>
    <t xml:space="preserve">Solvent contents (%) =  </t>
    <phoneticPr fontId="4" type="noConversion"/>
  </si>
  <si>
    <t>가교반응</t>
    <phoneticPr fontId="3" type="noConversion"/>
  </si>
  <si>
    <t>희석공정</t>
    <phoneticPr fontId="3" type="noConversion"/>
  </si>
  <si>
    <t>지연제</t>
    <phoneticPr fontId="3" type="noConversion"/>
  </si>
  <si>
    <t>Vi-MM</t>
    <phoneticPr fontId="3" type="noConversion"/>
  </si>
  <si>
    <t>Total (용제포함)</t>
    <phoneticPr fontId="3" type="noConversion"/>
  </si>
  <si>
    <t>Total (용제미포함)</t>
    <phoneticPr fontId="3" type="noConversion"/>
  </si>
  <si>
    <t>Total</t>
    <phoneticPr fontId="3" type="noConversion"/>
  </si>
  <si>
    <t>#1</t>
    <phoneticPr fontId="3" type="noConversion"/>
  </si>
  <si>
    <r>
      <t xml:space="preserve">숨김 </t>
    </r>
    <r>
      <rPr>
        <sz val="10"/>
        <rFont val="맑은 고딕"/>
        <family val="3"/>
        <charset val="129"/>
      </rPr>
      <t>→</t>
    </r>
    <phoneticPr fontId="3" type="noConversion"/>
  </si>
  <si>
    <t>첨가제</t>
    <phoneticPr fontId="3" type="noConversion"/>
  </si>
  <si>
    <t>A1</t>
    <phoneticPr fontId="3" type="noConversion"/>
  </si>
  <si>
    <t xml:space="preserve">Base Oil contents (%) =  </t>
    <phoneticPr fontId="4" type="noConversion"/>
  </si>
  <si>
    <t xml:space="preserve">첨가제 contents (%) =  </t>
    <phoneticPr fontId="4" type="noConversion"/>
  </si>
  <si>
    <t xml:space="preserve">차수별 겔함량 (%) =  </t>
    <phoneticPr fontId="4" type="noConversion"/>
  </si>
  <si>
    <t xml:space="preserve">지연제 contents (ppm) =  </t>
    <phoneticPr fontId="4" type="noConversion"/>
  </si>
  <si>
    <t xml:space="preserve">H-polymer weight ratio (H1/H2/H3) =  </t>
    <phoneticPr fontId="4" type="noConversion"/>
  </si>
  <si>
    <t xml:space="preserve">Vi-Polymer mol ratio (V1/V2/V3) =  </t>
    <phoneticPr fontId="4" type="noConversion"/>
  </si>
  <si>
    <t xml:space="preserve">최종 Gel / 첨가제 / 희석제 (%) =  </t>
    <phoneticPr fontId="4" type="noConversion"/>
  </si>
  <si>
    <t xml:space="preserve">차수별 첨가제 함량 (%) =  </t>
    <phoneticPr fontId="4" type="noConversion"/>
  </si>
  <si>
    <t>원배합</t>
    <phoneticPr fontId="3" type="noConversion"/>
  </si>
  <si>
    <t>100배합</t>
    <phoneticPr fontId="3" type="noConversion"/>
  </si>
  <si>
    <t>실험번호</t>
    <phoneticPr fontId="3" type="noConversion"/>
  </si>
  <si>
    <t xml:space="preserve">Catalyst contents (ppm) =  </t>
    <phoneticPr fontId="4" type="noConversion"/>
  </si>
  <si>
    <t>원료명</t>
    <phoneticPr fontId="3" type="noConversion"/>
  </si>
  <si>
    <t>#2</t>
  </si>
  <si>
    <t>#2</t>
    <phoneticPr fontId="3" type="noConversion"/>
  </si>
  <si>
    <t>#3</t>
  </si>
  <si>
    <t>#3</t>
    <phoneticPr fontId="3" type="noConversion"/>
  </si>
  <si>
    <t>휘발분</t>
    <phoneticPr fontId="3" type="noConversion"/>
  </si>
  <si>
    <t>비휘발분</t>
    <phoneticPr fontId="3" type="noConversion"/>
  </si>
  <si>
    <t>3롤작업 횟수</t>
    <phoneticPr fontId="3" type="noConversion"/>
  </si>
  <si>
    <t>외관</t>
    <phoneticPr fontId="3" type="noConversion"/>
  </si>
  <si>
    <t>점도</t>
    <phoneticPr fontId="3" type="noConversion"/>
  </si>
  <si>
    <t>색상</t>
    <phoneticPr fontId="3" type="noConversion"/>
  </si>
  <si>
    <t>사용감</t>
    <phoneticPr fontId="3" type="noConversion"/>
  </si>
  <si>
    <t>비고</t>
    <phoneticPr fontId="3" type="noConversion"/>
  </si>
  <si>
    <t>양호</t>
    <phoneticPr fontId="3" type="noConversion"/>
  </si>
  <si>
    <t>연한노랑</t>
    <phoneticPr fontId="3" type="noConversion"/>
  </si>
  <si>
    <t>매우 부드럽고 실키함</t>
    <phoneticPr fontId="3" type="noConversion"/>
  </si>
  <si>
    <t>제조결과</t>
    <phoneticPr fontId="3" type="noConversion"/>
  </si>
  <si>
    <t>저장성</t>
    <phoneticPr fontId="3" type="noConversion"/>
  </si>
  <si>
    <t>H-Polymer</t>
    <phoneticPr fontId="3" type="noConversion"/>
  </si>
  <si>
    <t>실험번호</t>
    <phoneticPr fontId="3" type="noConversion"/>
  </si>
  <si>
    <t>#1</t>
    <phoneticPr fontId="3" type="noConversion"/>
  </si>
  <si>
    <t>Vi/ H ratio</t>
    <phoneticPr fontId="3" type="noConversion"/>
  </si>
  <si>
    <t>Vi-Polymer</t>
    <phoneticPr fontId="3" type="noConversion"/>
  </si>
  <si>
    <t>촉매함량</t>
    <phoneticPr fontId="3" type="noConversion"/>
  </si>
  <si>
    <t>1차겔함량</t>
    <phoneticPr fontId="3" type="noConversion"/>
  </si>
  <si>
    <t>최종겔함량</t>
    <phoneticPr fontId="3" type="noConversion"/>
  </si>
  <si>
    <t>최종첨가제함량</t>
    <phoneticPr fontId="3" type="noConversion"/>
  </si>
  <si>
    <t>최종희석제함량</t>
    <phoneticPr fontId="3" type="noConversion"/>
  </si>
  <si>
    <t>지연제함량</t>
    <phoneticPr fontId="3" type="noConversion"/>
  </si>
  <si>
    <t>배합 설계</t>
    <phoneticPr fontId="3" type="noConversion"/>
  </si>
  <si>
    <t>기본 물성</t>
    <phoneticPr fontId="3" type="noConversion"/>
  </si>
  <si>
    <t>#4</t>
  </si>
  <si>
    <t>공정조건</t>
    <phoneticPr fontId="3" type="noConversion"/>
  </si>
  <si>
    <t>공정조건</t>
    <phoneticPr fontId="3" type="noConversion"/>
  </si>
  <si>
    <t>겔도달시간</t>
    <phoneticPr fontId="3" type="noConversion"/>
  </si>
  <si>
    <t>30분</t>
    <phoneticPr fontId="3" type="noConversion"/>
  </si>
  <si>
    <t>1차 반응온도</t>
    <phoneticPr fontId="3" type="noConversion"/>
  </si>
  <si>
    <t>90℃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</si>
</sst>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9" formatCode="0.000"/>
    <numFmt numFmtId="181" formatCode="0.0000"/>
    <numFmt numFmtId="190" formatCode="&quot;실험배합&quot;0.0&quot;배&quot;"/>
  </numFmts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176" fontId="2" fillId="2" borderId="4" xfId="2" applyNumberFormat="1" applyFont="1" applyFill="1" applyBorder="1" applyAlignment="1">
      <alignment horizontal="center" vertical="center"/>
    </xf>
    <xf numFmtId="2" fontId="2" fillId="0" borderId="4" xfId="1" applyNumberFormat="1" applyFont="1" applyFill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179" fontId="2" fillId="0" borderId="4" xfId="1" applyNumberFormat="1" applyFont="1" applyFill="1" applyBorder="1" applyAlignment="1">
      <alignment horizontal="center" vertical="center"/>
    </xf>
    <xf numFmtId="179" fontId="2" fillId="0" borderId="4" xfId="1" applyNumberFormat="1" applyFont="1" applyBorder="1" applyAlignment="1">
      <alignment horizontal="center" vertical="center"/>
    </xf>
    <xf numFmtId="181" fontId="2" fillId="0" borderId="4" xfId="1" applyNumberFormat="1" applyFont="1" applyBorder="1" applyAlignment="1">
      <alignment horizontal="center" vertical="center"/>
    </xf>
    <xf numFmtId="190" fontId="2" fillId="2" borderId="4" xfId="1" applyNumberFormat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76" fontId="2" fillId="0" borderId="4" xfId="2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0" borderId="12" xfId="1" applyFont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left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76" fontId="2" fillId="0" borderId="4" xfId="2" applyNumberFormat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0896;&#46020;\&#44277;&#50976;12\&#24464;&#37912;&#20116;\&#44396;&#44396;&#45380;&#51088;&#47308;\&#49373;&#49328;&#44284;&#50696;&#49328;(99-05-25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592;&#49696;&#44592;&#54925;&#54016;%20&#50629;&#47924;&#54260;&#45908;\&#44592;&#49696;&#44592;&#54925;&#54016;%20&#50629;&#47924;&#54260;&#45908;\WINDOWS\TEMP\IEXPLORE\CACHE\MSOFFICE\EXCEL\&#49373;&#49328;&#54924;&#51032;\&#44277;&#51109;&#51204;&#5240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3121150\D\IEXPLORE\CACHE\MSOFFICE\EXCEL\&#49373;&#49328;&#54924;&#51032;\&#44277;&#51109;&#51204;&#5240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1221;&#54788;11\lsr&#44277;&#50976;\HAREP\H6REPFM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05&#54728;&#4403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&#44552;&#44053;&#51228;&#54408;\&#44552;&#44053;&#51228;&#54408;\10&#44060;&#45380;\&#54868;&#51060;&#48148;&#48372;&#46300;\splan\stanley\&#44592;&#54925;&#50629;&#47924;\&#51204;&#47581;\&#51109;&#44592;&#51204;&#47581;\990310\&#50976;&#47532;&#47732;(990309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lan\stanley\&#44592;&#54925;&#50629;&#47924;\&#51204;&#47581;\&#51109;&#44592;&#51204;&#47581;\9905\RW&#51109;&#44592;(99051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GBANG\&#51109;&#44592;&#51204;&#47581;\splan\stanley\&#44592;&#54925;&#50629;&#47924;\&#51204;&#47581;\&#51109;&#44592;&#51204;&#47581;\990130\9805&#54728;&#4403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840;\&#44277;&#50629;&#46020;&#47308;&#50672;&#44396;&#54016;%20&#50629;&#47924;&#51652;&#54665;\DOCUME~1\k-won\LOCALS~1\Temp\&#44148;&#52629;&#50857;(020515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840;\&#44277;&#50629;&#46020;&#47308;&#50672;&#44396;&#54016;%20&#50629;&#47924;&#51652;&#54665;\&#49436;&#47448;&#54632;\&#50689;&#50629;&#44592;&#54925;\&#51473;&#51216;&#50629;&#47924;\&#49884;&#51109;&#51204;&#47581;\&#51109;&#44592;&#51204;&#47581;(01&#45380;6&#50900;)\&#49436;&#47448;&#54632;\&#50689;&#50629;&#44592;&#54925;\&#51473;&#51216;&#50629;&#47924;\&#49884;&#51109;&#51204;&#47581;\&#47532;&#54588;&#45768;&#49772;\&#47532;&#54588;&#45768;&#49772;&#52509;&#49884;&#51109;(0807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C&#44277;&#50976;\&#49436;&#47448;&#54632;\&#50689;&#50629;&#44592;&#54925;\&#51473;&#51216;&#50629;&#47924;\&#49884;&#51109;&#51204;&#47581;\&#51109;&#44592;&#51204;&#47581;(01&#45380;6&#50900;)\&#49436;&#47448;&#54632;\&#50689;&#50629;&#44592;&#54925;\&#51473;&#51216;&#50629;&#47924;\&#49884;&#51109;&#51204;&#47581;\&#51109;&#44592;&#51204;&#47581;(8&#50900;)\&#49688;&#51648;\&#49688;&#51648;(020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840;\&#44277;&#50629;&#46020;&#47308;&#50672;&#44396;&#54016;%20&#50629;&#47924;&#51652;&#54665;\&#50689;&#50629;&#44592;&#54925;\&#51109;&#44592;&#51204;&#47581;\&#46020;&#47308;&#51228;&#54408;\2002&#45380;\10&#44060;&#45380;&#44228;&#54925;(0202)\MW%2010&#44060;&#45380;%20&#51204;&#47581;(&#51674;&#53076;&#53944;01&#44592;&#5145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&#44552;&#44053;&#51228;&#54408;\&#44552;&#44053;\&#54868;&#51060;&#48260;%20&#48372;&#46300;(O)\&#50896;\&#44221;&#44592;&#51204;&#47581;\9805&#54728;&#4403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1221;&#54788;11\lsr&#44277;&#50976;\HAREP\MONTH\H4A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C&#44277;&#50976;\DOCUME~1\GNU\LOCALS~1\Temp\NC1643E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364;\&#44552;&#44053;&#51228;&#54408;\&#44552;&#44053;&#51228;&#54408;\&#44148;&#52629;&#54728;&#44032;&#47732;&#51201;\&#48372;&#44256;&#51088;&#47308;\splan\stanley\&#44592;&#54925;&#50629;&#47924;\&#51204;&#47581;\&#51109;&#44592;&#51204;&#47581;\990310\&#50976;&#47532;&#47732;(990309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36;&#54872;\My%20Documents\WINDOWS\Temporary%20Internet%20Files\4J8XE5Q7\WINDOWS\Temporary%20Internet%20Files\cache4\&#52264;&#51060;&#48516;&#4943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1221;&#54788;11\lsr&#44277;&#50976;\&#49436;&#47448;&#54632;\&#50689;&#50629;&#44592;&#54925;\&#51473;&#51216;&#50629;&#47924;\&#49884;&#51109;&#51204;&#47581;\&#47532;&#54588;&#45768;&#49772;\&#47532;&#54588;&#45768;&#49772;&#52509;&#49884;&#51109;(0807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lan\stanley\&#44592;&#54925;&#50629;&#47924;\&#51204;&#47581;\&#51109;&#44592;&#51204;&#47581;\990130\9805&#54728;&#4403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계획(99-05-25)"/>
      <sheetName val="배합비(99-05-25)"/>
      <sheetName val="생산과예산(99-05-25)"/>
      <sheetName val="비주거용"/>
      <sheetName val="불량율(세부)"/>
      <sheetName val="CAUDIT"/>
      <sheetName val="변경내역대비표(2)"/>
      <sheetName val="통계자료"/>
      <sheetName val="1을"/>
      <sheetName val="Sheet2"/>
      <sheetName val="III.B.3 Ethylene Ldr Basic"/>
      <sheetName val="Input Data"/>
      <sheetName val="III.C.1 Chlorine ldr net"/>
      <sheetName val="III.B.4 Ethylene ldr Standard"/>
      <sheetName val="TG9504"/>
      <sheetName val="투자양식"/>
      <sheetName val="Assumptions"/>
      <sheetName val="이자율"/>
      <sheetName val="TAB VIII.A.1"/>
      <sheetName val="조선용암면"/>
      <sheetName val="견적공통"/>
      <sheetName val="생산판매재고"/>
      <sheetName val="투자예산"/>
      <sheetName val="12년실적"/>
      <sheetName val="경비"/>
      <sheetName val="예산실적전체당월"/>
      <sheetName val="Sheet1"/>
      <sheetName val="미지급금"/>
      <sheetName val="건축도급단가"/>
      <sheetName val="실행단가"/>
      <sheetName val="00실적"/>
      <sheetName val="MC산출근거"/>
      <sheetName val="BASE"/>
      <sheetName val="부재예실1월"/>
      <sheetName val="수지공장 ITEM별 작업시간"/>
      <sheetName val="방정식그래프"/>
      <sheetName val="機器明細(MC)"/>
      <sheetName val="부재예실"/>
      <sheetName val="산출근거"/>
      <sheetName val="손료기준-공사부구두문의"/>
      <sheetName val="Sheet11"/>
      <sheetName val="단가"/>
      <sheetName val="#REF"/>
      <sheetName val="일위대가목록"/>
      <sheetName val="정보매체A동"/>
      <sheetName val="골프모래"/>
      <sheetName val="허가"/>
      <sheetName val="주택건설"/>
      <sheetName val="200101"/>
      <sheetName val="GC산출"/>
      <sheetName val="누계"/>
      <sheetName val="그래프"/>
      <sheetName val="수리결과"/>
      <sheetName val="기타수당"/>
      <sheetName val="연차수당"/>
      <sheetName val="03년 손익"/>
      <sheetName val="Finished Goods "/>
      <sheetName val="Dropdown 메뉴"/>
      <sheetName val="집계표"/>
      <sheetName val="기준(2015.9월~2016.8월)"/>
      <sheetName val="소공장별 제조원가(16년3분기)"/>
      <sheetName val="보험료,운임"/>
      <sheetName val="원본1"/>
      <sheetName val="PATENT"/>
      <sheetName val="원재료비 UP-DATE"/>
      <sheetName val="건설성적"/>
      <sheetName val="연간rework환소"/>
      <sheetName val="연차"/>
      <sheetName val="실행예산"/>
      <sheetName val="GEUB "/>
      <sheetName val="정보집계) 실적(유형별)"/>
      <sheetName val="PVC"/>
      <sheetName val="건재"/>
      <sheetName val="생략채권"/>
      <sheetName val="유리"/>
      <sheetName val="제품원재"/>
      <sheetName val="간접비"/>
      <sheetName val="표지"/>
      <sheetName val="eq_data"/>
      <sheetName val="#93"/>
      <sheetName val="PDP"/>
      <sheetName val="95년기준조정"/>
      <sheetName val="유효성"/>
      <sheetName val="승용"/>
      <sheetName val="Sheet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실적전체당월"/>
      <sheetName val="02전사완제품상품계획"/>
      <sheetName val="xxxxxx"/>
      <sheetName val="업무연락"/>
      <sheetName val="Chart1"/>
      <sheetName val="제품처리현황  "/>
      <sheetName val="부재예실"/>
      <sheetName val="판매일반"/>
      <sheetName val="BASE"/>
      <sheetName val="건설성적"/>
      <sheetName val="제품원재"/>
      <sheetName val="수리결과"/>
      <sheetName val="원본"/>
      <sheetName val="MC산출근거"/>
      <sheetName val="배합비(99-05-25)"/>
      <sheetName val="소모품"/>
      <sheetName val="wall"/>
      <sheetName val="이자율"/>
      <sheetName val="CMC ellipse"/>
      <sheetName val="투자예산"/>
      <sheetName val="물량표S"/>
      <sheetName val="CAPVC"/>
      <sheetName val="일위대가목록"/>
      <sheetName val="울산상비리스트"/>
      <sheetName val="불량율(세부)"/>
      <sheetName val="비주거용"/>
      <sheetName val="공장전체"/>
      <sheetName val="VXXXXXXX"/>
      <sheetName val="초과사유"/>
      <sheetName val="수장을"/>
      <sheetName val="손료기준-공사부구두문의"/>
      <sheetName val="RAW DATA"/>
      <sheetName val="두께별"/>
      <sheetName val="TOTAL"/>
      <sheetName val="유형분류"/>
      <sheetName val="금강투자2000"/>
      <sheetName val="Sheet2"/>
      <sheetName val="Sheet13"/>
      <sheetName val="재정_FB완료"/>
      <sheetName val="박두익"/>
      <sheetName val="GC산출"/>
      <sheetName val="00실적"/>
      <sheetName val="제안서"/>
      <sheetName val="행정표준(1)"/>
      <sheetName val="행정표준(2)"/>
      <sheetName val="2"/>
      <sheetName val="대기"/>
      <sheetName val="Sheet1"/>
      <sheetName val="생산판매재고"/>
      <sheetName val="1을"/>
      <sheetName val="총괄표"/>
      <sheetName val="투자실적(계정별)"/>
      <sheetName val="카메라2"/>
      <sheetName val="1.불만접수현황"/>
      <sheetName val="투자집계표"/>
      <sheetName val="투자실적(제품별)"/>
      <sheetName val="재정"/>
      <sheetName val="TTT"/>
      <sheetName val="갑지(추정)"/>
      <sheetName val="DailyInput"/>
      <sheetName val="일년TOTAL"/>
      <sheetName val="공사내역서(을)실행"/>
      <sheetName val="제조요약 (당월)"/>
      <sheetName val="제조요약 (누계)"/>
      <sheetName val="3개월 소요량"/>
      <sheetName val="12월말재고"/>
      <sheetName val="12월 소요량"/>
      <sheetName val="11월 소요량"/>
      <sheetName val="456소요량"/>
      <sheetName val="2월소요량"/>
      <sheetName val="3월소요량"/>
      <sheetName val="Eq. Mobilization"/>
      <sheetName val="AT310"/>
      <sheetName val="01 매출및기성1103"/>
      <sheetName val="1"/>
      <sheetName val="정보매체A동"/>
      <sheetName val="인건비(010330)"/>
      <sheetName val="결론"/>
      <sheetName val="Sheet4"/>
      <sheetName val="3.현황(창호_라미)"/>
      <sheetName val="3.현황(내외장재_상재)"/>
      <sheetName val="#REF"/>
      <sheetName val="Cover"/>
      <sheetName val="불만처리현황"/>
      <sheetName val="부재예실1월"/>
      <sheetName val="산출근거"/>
      <sheetName val="CAM"/>
      <sheetName val="GRACE"/>
      <sheetName val="report_20"/>
      <sheetName val="camera_30"/>
      <sheetName val="협조전"/>
      <sheetName val="Kimdh"/>
      <sheetName val="과제"/>
      <sheetName val="10"/>
      <sheetName val="90"/>
      <sheetName val="40"/>
      <sheetName val="50"/>
      <sheetName val="60"/>
      <sheetName val="70"/>
      <sheetName val="camera_10"/>
      <sheetName val="guard(mac)"/>
      <sheetName val="tggwan(mac)"/>
      <sheetName val="일위대가표"/>
      <sheetName val="Atomic Wt Data"/>
      <sheetName val="2.대외공문"/>
      <sheetName val="RD제품개발투자비(매가)"/>
      <sheetName val="기안"/>
      <sheetName val="신제품1"/>
      <sheetName val="신제품3"/>
      <sheetName val="지급자재"/>
      <sheetName val="코드표"/>
      <sheetName val="Front"/>
      <sheetName val="제품처리현황__"/>
      <sheetName val="CMC_ellipse"/>
      <sheetName val="RAW_DATA"/>
      <sheetName val="제조요약_(당월)"/>
      <sheetName val="제조요약_(누계)"/>
      <sheetName val="Eq__Mobilization"/>
      <sheetName val="1_불만접수현황"/>
      <sheetName val="3개월_소요량"/>
      <sheetName val="12월_소요량"/>
      <sheetName val="11월_소요량"/>
      <sheetName val="3_현황(창호_라미)"/>
      <sheetName val="3_현황(내외장재_상재)"/>
      <sheetName val="01_매출및기성1103"/>
      <sheetName val="Atomic_Wt_Data"/>
      <sheetName val="2_대외공문"/>
      <sheetName val="공통가설"/>
      <sheetName val="기능인사자료"/>
      <sheetName val="機器明細(MC)"/>
      <sheetName val="제품처리현황__1"/>
      <sheetName val="CMC_ellipse1"/>
      <sheetName val="RAW_DATA1"/>
      <sheetName val="1_불만접수현황1"/>
      <sheetName val="제조요약_(당월)1"/>
      <sheetName val="제조요약_(누계)1"/>
      <sheetName val="3개월_소요량1"/>
      <sheetName val="12월_소요량1"/>
      <sheetName val="11월_소요량1"/>
      <sheetName val="Eq__Mobilization1"/>
      <sheetName val="01_매출및기성11031"/>
      <sheetName val="3_현황(창호_라미)1"/>
      <sheetName val="3_현황(내외장재_상재)1"/>
      <sheetName val="Atomic_Wt_Data1"/>
      <sheetName val="2_대외공문1"/>
      <sheetName val="간접비내역-1"/>
      <sheetName val="통계자료"/>
      <sheetName val="FG"/>
      <sheetName val="수지밸브"/>
      <sheetName val="Summary"/>
      <sheetName val="입찰내역 발주처 양식"/>
      <sheetName val="부산제일극장"/>
      <sheetName val="검토사항"/>
      <sheetName val="배합비(2,3.4분기)"/>
      <sheetName val="report"/>
      <sheetName val="PVC"/>
      <sheetName val="전직원명단_20011108"/>
      <sheetName val="COL131"/>
      <sheetName val="99판매상세"/>
      <sheetName val="실행철강하도"/>
      <sheetName val="입찰안"/>
      <sheetName val="신제품2"/>
      <sheetName val="가설재손료"/>
      <sheetName val="인원계획"/>
      <sheetName val="년차수당"/>
      <sheetName val="발행제기"/>
      <sheetName val="원본1"/>
      <sheetName val="건재양식"/>
      <sheetName val="물량10월"/>
      <sheetName val="1월"/>
      <sheetName val="AHU-1"/>
      <sheetName val="급탕설비"/>
      <sheetName val="화장실배기팬"/>
      <sheetName val="9806-9901"/>
      <sheetName val="코드"/>
      <sheetName val="결정소재임원"/>
      <sheetName val="사파이어개발부"/>
      <sheetName val="SP관리"/>
      <sheetName val="잉곳개발과"/>
      <sheetName val="기판개발과"/>
      <sheetName val="시스템개발과"/>
      <sheetName val="인건비예산파일"/>
      <sheetName val="첨부7.UTILITY"/>
      <sheetName val="변경내역대비표(2)"/>
      <sheetName val="Sheet8"/>
      <sheetName val="97년 추정"/>
      <sheetName val="카메라"/>
      <sheetName val="공장평가(12-1분기)(양식변경안).xlsx"/>
      <sheetName val="성형자료"/>
      <sheetName val="3사인원"/>
      <sheetName val="6월"/>
      <sheetName val="집계표"/>
      <sheetName val="2-8"/>
      <sheetName val="울산(구분)"/>
      <sheetName val="단가정리(작업)"/>
      <sheetName val="Sheet3"/>
      <sheetName val="BASIC단가"/>
      <sheetName val="조선용암면"/>
      <sheetName val="주별납기"/>
      <sheetName val="완료퀄리티매칭"/>
      <sheetName val="계획08"/>
      <sheetName val="적용토목"/>
      <sheetName val="PAINT"/>
      <sheetName val="예산입력(전)"/>
      <sheetName val="FC-101"/>
      <sheetName val="차수"/>
      <sheetName val="예적금"/>
      <sheetName val="95년기준조정"/>
      <sheetName val="회계적산"/>
      <sheetName val="OPT손익 내수"/>
      <sheetName val="OPT손익 수출"/>
      <sheetName val="주재원"/>
      <sheetName val="OSA"/>
      <sheetName val="인원현황"/>
      <sheetName val="골프모래"/>
      <sheetName val="3월작업"/>
      <sheetName val="원료"/>
      <sheetName val="tt-RESIN"/>
      <sheetName val="손익11"/>
      <sheetName val="참조"/>
      <sheetName val="은행"/>
      <sheetName val="물량표"/>
      <sheetName val="허가"/>
      <sheetName val="당월실적"/>
      <sheetName val=" 유리_시공 업무 매뉴얼(20150306).xlsx"/>
      <sheetName val=" 유리_가시공 업무 매뉴얼(20150310).xlsx"/>
      <sheetName val="수성자동포장라인자동화.xlsx"/>
      <sheetName val="단가동향"/>
      <sheetName val="CAUDIT"/>
      <sheetName val="준검 내역서"/>
      <sheetName val="표지"/>
      <sheetName val="관리전폭"/>
      <sheetName val="건    재"/>
      <sheetName val="미지급금"/>
      <sheetName val="법인세신고자료"/>
      <sheetName val="마산월령동골조물량변경"/>
      <sheetName val="typecode"/>
      <sheetName val="화재 탐지 설비"/>
      <sheetName val="200101"/>
      <sheetName val="Assumptions"/>
      <sheetName val="소개"/>
      <sheetName val="보증금"/>
      <sheetName val="산정(1부)"/>
      <sheetName val="벤더리스트"/>
      <sheetName val="불량이력원료(진행중)"/>
      <sheetName val="SurveyTotals"/>
      <sheetName val="건축도급단가"/>
      <sheetName val="실행단가"/>
      <sheetName val="Data"/>
      <sheetName val="Sheet4 (2)"/>
      <sheetName val="Target 두께측정 Data"/>
      <sheetName val="C11F"/>
      <sheetName val="9월누계(산지계)"/>
      <sheetName val="실행내역서(DCU)"/>
      <sheetName val=" 갑지"/>
      <sheetName val="부서"/>
      <sheetName val="유형"/>
      <sheetName val="연간rework환소"/>
      <sheetName val="연간rework포장"/>
      <sheetName val="전부서공통"/>
      <sheetName val="운영계획"/>
      <sheetName val="5쪽"/>
      <sheetName val="출장거리"/>
      <sheetName val="세부(종합)"/>
      <sheetName val="단가"/>
      <sheetName val="12월실적"/>
      <sheetName val="Butadiene"/>
      <sheetName val="Propylene"/>
      <sheetName val="경성자금"/>
      <sheetName val="4"/>
      <sheetName val="분체 노후설비 교체 투자(분산기1대,분쇄기2대).xlsx"/>
      <sheetName val="h-013211-2"/>
      <sheetName val=" 2011년 부서별 폐기물 감소 방안.xlsx"/>
      <sheetName val="조명일위"/>
      <sheetName val="200005"/>
      <sheetName val="2008 건재예산$100기준"/>
      <sheetName val="USA"/>
      <sheetName val="원단위 산출"/>
      <sheetName val="고정비 내역"/>
      <sheetName val="변동비 내역"/>
      <sheetName val="기술공여선배합송부현황DB(도료)"/>
      <sheetName val="MOTOR"/>
      <sheetName val="대리점전화번호-셀손대지 말것"/>
      <sheetName val="참고.반영율"/>
      <sheetName val="B"/>
      <sheetName val="인원DB"/>
      <sheetName val="시공여유율"/>
      <sheetName val="실적0902_WHITE"/>
      <sheetName val="대외공문"/>
      <sheetName val="OD5000"/>
      <sheetName val="매트"/>
      <sheetName val="사이즈"/>
      <sheetName val="용융"/>
      <sheetName val="티슈"/>
      <sheetName val="3.수익성향상"/>
      <sheetName val="집계표(육상)"/>
      <sheetName val="월간"/>
      <sheetName val="3.구간별단가"/>
      <sheetName val="2. 도급단가산출"/>
      <sheetName val="2.요약집계표(변경전)"/>
      <sheetName val="4.임율구간별단가"/>
      <sheetName val="포장"/>
      <sheetName val="14년 10월 생산일정표(10.21 rev.06).xls"/>
      <sheetName val="일위대가"/>
      <sheetName val="단가대비표"/>
      <sheetName val="※참고(차종)"/>
      <sheetName val="01월실적값복사"/>
      <sheetName val="01월예산값복사"/>
      <sheetName val="2분기산정제품"/>
      <sheetName val="판촉계획(고정)"/>
      <sheetName val="울산(코드별규격)"/>
      <sheetName val="12"/>
      <sheetName val="검사코드 관리 절차"/>
      <sheetName val="F12"/>
      <sheetName val="매출예산2012"/>
      <sheetName val="유효성"/>
      <sheetName val="지부전체"/>
      <sheetName val="TB(PL)"/>
      <sheetName val="PAJE"/>
      <sheetName val="TB(BS)"/>
      <sheetName val="PRJE"/>
      <sheetName val="XREF"/>
      <sheetName val="2012.1월~현재(법률자문료비교)"/>
      <sheetName val="도입리스트"/>
      <sheetName val="3.PT개발계획"/>
      <sheetName val="공비대비"/>
      <sheetName val="2월판매"/>
      <sheetName val="현황보고"/>
      <sheetName val="원가계산서"/>
      <sheetName val="차액보증"/>
      <sheetName val="일위대가목차"/>
      <sheetName val="피벗 (2)"/>
      <sheetName val="변경증감내역서"/>
      <sheetName val="12년실적"/>
      <sheetName val="Low Data 누계"/>
      <sheetName val="계정"/>
      <sheetName val="단가 RAW DATA"/>
      <sheetName val="FAB별"/>
      <sheetName val="간접"/>
      <sheetName val="Sheet5"/>
      <sheetName val="Lead"/>
      <sheetName val="F12_BS"/>
      <sheetName val="F3_PL"/>
      <sheetName val="F4_PAJE"/>
      <sheetName val="재무상태변동표"/>
      <sheetName val="선급비용"/>
      <sheetName val="기초자료"/>
      <sheetName val="소상 &quot;1&quot;"/>
      <sheetName val="공산"/>
      <sheetName val="CF"/>
      <sheetName val="Sheet1 (2)"/>
      <sheetName val="견적집계표"/>
      <sheetName val="Page2"/>
      <sheetName val="실행예산"/>
      <sheetName val="db"/>
      <sheetName val="센스타일,강화마루 운영(안).xlsx"/>
      <sheetName val="연습"/>
      <sheetName val="업무실적(피벗)"/>
      <sheetName val="EX"/>
      <sheetName val="C"/>
      <sheetName val="5월출고"/>
      <sheetName val="데이타"/>
      <sheetName val="식재인부"/>
      <sheetName val="기초일위"/>
      <sheetName val="시설일위"/>
      <sheetName val="기준"/>
      <sheetName val="DAT(목표)"/>
      <sheetName val="PP%계산"/>
      <sheetName val="주요원재료현황"/>
      <sheetName val="지점장"/>
      <sheetName val="Sheet6 (3)"/>
      <sheetName val="카메라4"/>
      <sheetName val="기준정보"/>
      <sheetName val="별첨3.석고보드운송비"/>
      <sheetName val="6.CAPA"/>
      <sheetName val="별첨.월별수급"/>
      <sheetName val="제품재고현황"/>
      <sheetName val="첨부2 특판단가표"/>
      <sheetName val="KCB단가코드"/>
      <sheetName val="간접비"/>
      <sheetName val="14__10________10_21_rev_06__x_2"/>
      <sheetName val="수익성"/>
      <sheetName val="현금흐름및재무안정성"/>
      <sheetName val="2)유지보수금액 단가 산출"/>
      <sheetName val="3)ERP,MES"/>
      <sheetName val="빗물받이(910-510-410)"/>
      <sheetName val="국내조달(통합-1)"/>
      <sheetName val="손익분석"/>
      <sheetName val="일반부표"/>
      <sheetName val="명세"/>
      <sheetName val="용역비내역-진짜"/>
      <sheetName val="추가예산"/>
      <sheetName val="기타수당"/>
      <sheetName val="연차수당"/>
      <sheetName val="원재료비"/>
      <sheetName val="설비제원"/>
      <sheetName val="5사남"/>
      <sheetName val="XL4Poppy"/>
      <sheetName val="토목주소"/>
      <sheetName val="23년"/>
      <sheetName val="95MAKER"/>
      <sheetName val="Tbom-tot"/>
      <sheetName val="투자요약보고서_울산공장 JIT MIXER 보완.xlsx"/>
      <sheetName val="건재"/>
      <sheetName val="생략채권"/>
      <sheetName val="유리"/>
      <sheetName val="운영자금차입금"/>
      <sheetName val="원인대책유형"/>
      <sheetName val="2-2.매출분석"/>
      <sheetName val="협력업체주소"/>
      <sheetName val="관리대장(2001장비)"/>
      <sheetName val="본인평가"/>
      <sheetName val="효과파악"/>
      <sheetName val="비교분석"/>
      <sheetName val="현우실적"/>
      <sheetName val="TOEIC기준점수"/>
      <sheetName val="절감실적_M별세부"/>
      <sheetName val="재고"/>
      <sheetName val="LEGEND"/>
      <sheetName val="VSAMS Summary"/>
      <sheetName val=" 견적서"/>
      <sheetName val="125PIECE"/>
      <sheetName val="기준코드표(438)"/>
      <sheetName val="총원"/>
      <sheetName val="DHEQSUPT"/>
      <sheetName val="차량별점검"/>
      <sheetName val="우레탄 중도 원료모음"/>
      <sheetName val="기초"/>
      <sheetName val="자재"/>
      <sheetName val="2개년도 판촉실적분석"/>
      <sheetName val="forecasted_BS"/>
      <sheetName val="forecasted_IS"/>
      <sheetName val="200301(9)"/>
      <sheetName val="200206(2)"/>
      <sheetName val="200211(7)"/>
      <sheetName val="품의예산"/>
      <sheetName val="PJT.11"/>
      <sheetName val="당좌차월"/>
      <sheetName val="Exchange Rate Link Sheet"/>
      <sheetName val="제품처리현황__2"/>
      <sheetName val="CMC_ellipse2"/>
      <sheetName val="RAW_DATA2"/>
      <sheetName val="1_불만접수현황2"/>
      <sheetName val="제조요약_(당월)2"/>
      <sheetName val="제조요약_(누계)2"/>
      <sheetName val="3개월_소요량2"/>
      <sheetName val="12월_소요량2"/>
      <sheetName val="11월_소요량2"/>
      <sheetName val="Eq__Mobilization2"/>
      <sheetName val="01_매출및기성11032"/>
      <sheetName val="3_현황(창호_라미)2"/>
      <sheetName val="3_현황(내외장재_상재)2"/>
      <sheetName val="Atomic_Wt_Data2"/>
      <sheetName val="2_대외공문2"/>
      <sheetName val="입찰내역_발주처_양식"/>
      <sheetName val="배합비(2,3_4분기)"/>
      <sheetName val="첨부7_UTILITY"/>
      <sheetName val="97년_추정"/>
      <sheetName val="공장평가(12-1분기)(양식변경안)_xlsx"/>
      <sheetName val="OPT손익_내수"/>
      <sheetName val="OPT손익_수출"/>
      <sheetName val="_유리_시공_업무_매뉴얼(20150306)_xlsx"/>
      <sheetName val="_유리_가시공_업무_매뉴얼(20150310)_xlsx"/>
      <sheetName val="수성자동포장라인자동화_xlsx"/>
      <sheetName val="건____재"/>
      <sheetName val="준검_내역서"/>
      <sheetName val="화재_탐지_설비"/>
      <sheetName val="Sheet4_(2)"/>
      <sheetName val="Target_두께측정_Data"/>
      <sheetName val="분체_노후설비_교체_투자(분산기1대,분쇄기2대)_xlsx"/>
      <sheetName val="_2011년_부서별_폐기물_감소_방안_xlsx"/>
      <sheetName val="2008_건재예산$100기준"/>
      <sheetName val="원단위_산출"/>
      <sheetName val="고정비_내역"/>
      <sheetName val="변동비_내역"/>
      <sheetName val="참고_반영율"/>
      <sheetName val="_갑지"/>
      <sheetName val="대리점전화번호-셀손대지_말것"/>
      <sheetName val="3_수익성향상"/>
      <sheetName val="3_구간별단가"/>
      <sheetName val="2__도급단가산출"/>
      <sheetName val="2_요약집계표(변경전)"/>
      <sheetName val="4_임율구간별단가"/>
      <sheetName val="14년_10월_생산일정표(10_21_rev_06)_xls"/>
      <sheetName val="검사코드_관리_절차"/>
      <sheetName val="2012_1월~현재(법률자문료비교)"/>
      <sheetName val="피벗_(2)"/>
      <sheetName val="Low_Data_누계"/>
      <sheetName val="3_PT개발계획"/>
      <sheetName val="소상_&quot;1&quot;"/>
      <sheetName val="단가_RAW_DATA"/>
      <sheetName val="Sheet1_(2)"/>
      <sheetName val="센스타일,강화마루_운영(안)_xlsx"/>
      <sheetName val="Sheet6_(3)"/>
      <sheetName val="첨부2_특판단가표"/>
      <sheetName val="별첨3_석고보드운송비"/>
      <sheetName val="6_CAPA"/>
      <sheetName val="별첨_월별수급"/>
      <sheetName val="2)유지보수금액_단가_산출"/>
      <sheetName val="카메라21"/>
      <sheetName val="LAB설비"/>
      <sheetName val="년근태"/>
      <sheetName val="0000"/>
      <sheetName val="2004생산량"/>
      <sheetName val="원재료단가"/>
      <sheetName val="수리제작작업"/>
      <sheetName val="PBS"/>
      <sheetName val="누계"/>
      <sheetName val="대비2"/>
      <sheetName val="1.도급공정 구간별단가(별첨3)"/>
      <sheetName val="3.도급단가산출"/>
      <sheetName val="기본"/>
      <sheetName val="1차설계변경내역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실적전체당월"/>
      <sheetName val="02전사완제품상품계획"/>
      <sheetName val="xxxxxx"/>
      <sheetName val="업무연락"/>
      <sheetName val="Chart1"/>
      <sheetName val="제품처리현황  "/>
      <sheetName val="부재예실"/>
      <sheetName val="판매일반"/>
      <sheetName val="제품원재"/>
      <sheetName val="수리결과"/>
      <sheetName val="건설성적"/>
      <sheetName val="원본"/>
      <sheetName val="MC산출근거"/>
      <sheetName val="BASE"/>
      <sheetName val="소모품"/>
      <sheetName val="배합비(99-05-25)"/>
      <sheetName val="wall"/>
      <sheetName val="비주거용"/>
      <sheetName val="물량표S"/>
      <sheetName val="이자율"/>
      <sheetName val="CMC ellipse"/>
      <sheetName val="투자예산"/>
      <sheetName val="불량율(세부)"/>
      <sheetName val="두께별"/>
      <sheetName val="CAPVC"/>
      <sheetName val="일위대가목록"/>
      <sheetName val="울산상비리스트"/>
      <sheetName val="유형분류"/>
      <sheetName val="초과사유"/>
      <sheetName val="TOTAL"/>
      <sheetName val="1을"/>
      <sheetName val="재정_FB완료"/>
      <sheetName val="박두익"/>
      <sheetName val="Sheet1"/>
      <sheetName val="Sheet2"/>
      <sheetName val="Sheet13"/>
      <sheetName val="GC산출"/>
      <sheetName val="공장전체"/>
      <sheetName val="VXXXXXXX"/>
      <sheetName val="수장을"/>
      <sheetName val="손료기준-공사부구두문의"/>
      <sheetName val="RAW DATA"/>
      <sheetName val="생산판매재고"/>
      <sheetName val="금강투자2000"/>
      <sheetName val="총괄표"/>
      <sheetName val="대기"/>
      <sheetName val="00실적"/>
      <sheetName val="제안서"/>
      <sheetName val="행정표준(1)"/>
      <sheetName val="행정표준(2)"/>
      <sheetName val="2"/>
      <sheetName val="투자실적(계정별)"/>
      <sheetName val="투자집계표"/>
      <sheetName val="투자실적(제품별)"/>
      <sheetName val="DailyInput"/>
      <sheetName val="카메라2"/>
      <sheetName val="재정"/>
      <sheetName val="TTT"/>
      <sheetName val="공사내역서(을)실행"/>
      <sheetName val="제조요약 (당월)"/>
      <sheetName val="제조요약 (누계)"/>
      <sheetName val="1.불만접수현황"/>
      <sheetName val="갑지(추정)"/>
      <sheetName val="일년TOTAL"/>
      <sheetName val="3개월 소요량"/>
      <sheetName val="12월말재고"/>
      <sheetName val="12월 소요량"/>
      <sheetName val="11월 소요량"/>
      <sheetName val="Eq. Mobilization"/>
      <sheetName val="AT310"/>
      <sheetName val="456소요량"/>
      <sheetName val="2월소요량"/>
      <sheetName val="3월소요량"/>
      <sheetName val="1"/>
      <sheetName val="01 매출및기성1103"/>
      <sheetName val="정보매체A동"/>
      <sheetName val="인건비(010330)"/>
      <sheetName val="결론"/>
      <sheetName val="Sheet4"/>
      <sheetName val="3.현황(창호_라미)"/>
      <sheetName val="3.현황(내외장재_상재)"/>
      <sheetName val="불만처리현황"/>
      <sheetName val="GRACE"/>
      <sheetName val="report_20"/>
      <sheetName val="camera_30"/>
      <sheetName val="협조전"/>
      <sheetName val="Kimdh"/>
      <sheetName val="#REF"/>
      <sheetName val="Cover"/>
      <sheetName val="산출근거"/>
      <sheetName val="CAM"/>
      <sheetName val="과제"/>
      <sheetName val="10"/>
      <sheetName val="90"/>
      <sheetName val="40"/>
      <sheetName val="50"/>
      <sheetName val="60"/>
      <sheetName val="70"/>
      <sheetName val="camera_10"/>
      <sheetName val="부재예실1월"/>
      <sheetName val="guard(mac)"/>
      <sheetName val="tggwan(mac)"/>
      <sheetName val="일위대가표"/>
      <sheetName val="Atomic Wt Data"/>
      <sheetName val="2.대외공문"/>
      <sheetName val="RD제품개발투자비(매가)"/>
      <sheetName val="기안"/>
      <sheetName val="신제품1"/>
      <sheetName val="신제품3"/>
      <sheetName val="코드표"/>
      <sheetName val="Front"/>
      <sheetName val="제품처리현황__"/>
      <sheetName val="CMC_ellipse"/>
      <sheetName val="RAW_DATA"/>
      <sheetName val="제조요약_(당월)"/>
      <sheetName val="제조요약_(누계)"/>
      <sheetName val="Eq__Mobilization"/>
      <sheetName val="1_불만접수현황"/>
      <sheetName val="3개월_소요량"/>
      <sheetName val="12월_소요량"/>
      <sheetName val="11월_소요량"/>
      <sheetName val="3_현황(창호_라미)"/>
      <sheetName val="3_현황(내외장재_상재)"/>
      <sheetName val="01_매출및기성1103"/>
      <sheetName val="Atomic_Wt_Data"/>
      <sheetName val="2_대외공문"/>
      <sheetName val="공통가설"/>
      <sheetName val="機器明細(MC)"/>
      <sheetName val="제품처리현황__1"/>
      <sheetName val="CMC_ellipse1"/>
      <sheetName val="RAW_DATA1"/>
      <sheetName val="1_불만접수현황1"/>
      <sheetName val="제조요약_(당월)1"/>
      <sheetName val="제조요약_(누계)1"/>
      <sheetName val="3개월_소요량1"/>
      <sheetName val="12월_소요량1"/>
      <sheetName val="11월_소요량1"/>
      <sheetName val="Eq__Mobilization1"/>
      <sheetName val="01_매출및기성11031"/>
      <sheetName val="3_현황(창호_라미)1"/>
      <sheetName val="3_현황(내외장재_상재)1"/>
      <sheetName val="Atomic_Wt_Data1"/>
      <sheetName val="2_대외공문1"/>
      <sheetName val="기능인사자료"/>
      <sheetName val="통계자료"/>
      <sheetName val="FG"/>
      <sheetName val="지급자재"/>
      <sheetName val="수지밸브"/>
      <sheetName val="검토사항"/>
      <sheetName val="배합비(2,3.4분기)"/>
      <sheetName val="입찰내역 발주처 양식"/>
      <sheetName val="부산제일극장"/>
      <sheetName val="간접비내역-1"/>
      <sheetName val="report"/>
      <sheetName val="전직원명단_20011108"/>
      <sheetName val="Summary"/>
      <sheetName val="PVC"/>
      <sheetName val="COL131"/>
      <sheetName val="신제품2"/>
      <sheetName val="99판매상세"/>
      <sheetName val="실행철강하도"/>
      <sheetName val="입찰안"/>
      <sheetName val="코드"/>
      <sheetName val="발행제기"/>
      <sheetName val="원본1"/>
      <sheetName val="건재양식"/>
      <sheetName val="물량10월"/>
      <sheetName val="1월"/>
      <sheetName val="AHU-1"/>
      <sheetName val="급탕설비"/>
      <sheetName val="화장실배기팬"/>
      <sheetName val="가설재손료"/>
      <sheetName val="인원계획"/>
      <sheetName val="년차수당"/>
      <sheetName val="9806-9901"/>
      <sheetName val="결정소재임원"/>
      <sheetName val="사파이어개발부"/>
      <sheetName val="SP관리"/>
      <sheetName val="잉곳개발과"/>
      <sheetName val="기판개발과"/>
      <sheetName val="시스템개발과"/>
      <sheetName val="인건비예산파일"/>
      <sheetName val="첨부7.UTILITY"/>
      <sheetName val="변경내역대비표(2)"/>
      <sheetName val="Sheet8"/>
      <sheetName val="97년 추정"/>
      <sheetName val="카메라"/>
      <sheetName val="공장평가(12-1분기)(양식변경안).xlsx"/>
      <sheetName val="성형자료"/>
      <sheetName val="3사인원"/>
      <sheetName val="6월"/>
      <sheetName val="집계표"/>
      <sheetName val="2-8"/>
      <sheetName val="울산(구분)"/>
      <sheetName val="단가정리(작업)"/>
      <sheetName val="Sheet3"/>
      <sheetName val="BASIC단가"/>
      <sheetName val="조선용암면"/>
      <sheetName val="주별납기"/>
      <sheetName val="완료퀄리티매칭"/>
      <sheetName val="적용토목"/>
      <sheetName val="계획08"/>
      <sheetName val="회계적산"/>
      <sheetName val="PAINT"/>
      <sheetName val="FC-101"/>
      <sheetName val="예산입력(전)"/>
      <sheetName val="차수"/>
      <sheetName val="OPT손익 내수"/>
      <sheetName val="OPT손익 수출"/>
      <sheetName val="95년기준조정"/>
      <sheetName val="예적금"/>
      <sheetName val="주재원"/>
      <sheetName val="OSA"/>
      <sheetName val="인원현황"/>
      <sheetName val="tt-RESIN"/>
      <sheetName val="은행"/>
      <sheetName val="원료"/>
      <sheetName val="참조"/>
      <sheetName val="골프모래"/>
      <sheetName val="3월작업"/>
      <sheetName val="손익11"/>
      <sheetName val="허가"/>
      <sheetName val="물량표"/>
      <sheetName val="당월실적"/>
      <sheetName val=" 유리_시공 업무 매뉴얼(20150306).xlsx"/>
      <sheetName val=" 유리_가시공 업무 매뉴얼(20150310).xlsx"/>
      <sheetName val="수성자동포장라인자동화.xlsx"/>
      <sheetName val="단가동향"/>
      <sheetName val="법인세신고자료"/>
      <sheetName val="미지급금"/>
      <sheetName val="화재 탐지 설비"/>
      <sheetName val="C11F"/>
      <sheetName val="9월누계(산지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  <sheetName val="부재예실"/>
      <sheetName val="MC산출근거"/>
      <sheetName val="00실적"/>
      <sheetName val="95년기준조정"/>
      <sheetName val="비주거용"/>
      <sheetName val="#REF"/>
      <sheetName val="예산실적전체당월"/>
      <sheetName val="9906"/>
      <sheetName val="일년TOTAL"/>
      <sheetName val="세부(종합)"/>
      <sheetName val="배합비(99-05-25)"/>
      <sheetName val="산출근거"/>
      <sheetName val="시공여유율"/>
      <sheetName val="월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비주거용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산출근거"/>
      <sheetName val="MC산출근거"/>
      <sheetName val="승용"/>
      <sheetName val="원본"/>
      <sheetName val="00실적"/>
      <sheetName val="GC산출"/>
      <sheetName val="5사남"/>
      <sheetName val="9805허가"/>
      <sheetName val="골프모래"/>
      <sheetName val="제품원재"/>
      <sheetName val="제안서"/>
      <sheetName val="행정표준(1)"/>
      <sheetName val="행정표준(2)"/>
      <sheetName val="단가"/>
      <sheetName val="#REF"/>
      <sheetName val="000000"/>
      <sheetName val="LEGEND"/>
      <sheetName val="년차수당"/>
      <sheetName val="1을"/>
      <sheetName val="95년기준조정"/>
      <sheetName val="VA_code"/>
      <sheetName val="피벗 (2)"/>
      <sheetName val="부재예실1월"/>
      <sheetName val="신규DEP"/>
      <sheetName val="5.세운W-A"/>
      <sheetName val="RD제품개발투자비(매가)"/>
      <sheetName val="월간"/>
      <sheetName val="조선용암면"/>
      <sheetName val="투찰추정"/>
      <sheetName val="건재양식"/>
      <sheetName val="건재"/>
      <sheetName val="생략채권"/>
      <sheetName val="유리"/>
      <sheetName val="PVC"/>
      <sheetName val="일년TOTAL"/>
      <sheetName val="건설성적"/>
      <sheetName val="코드표(세무증빙표)"/>
      <sheetName val="부재예실"/>
      <sheetName val=" 17. 유기소재.xlsx"/>
      <sheetName val="BASE"/>
      <sheetName val="95MAKER"/>
      <sheetName val="Atomic Wt Data"/>
      <sheetName val="수리결과"/>
      <sheetName val="3사인원"/>
      <sheetName val="부대시설"/>
      <sheetName val="Apt내역"/>
      <sheetName val="이자율"/>
      <sheetName val="건축도급단가"/>
      <sheetName val="실행단가"/>
      <sheetName val="1"/>
      <sheetName val="배합비(99-05-25)"/>
      <sheetName val="5쪽"/>
      <sheetName val="예산실적전체당월"/>
      <sheetName val="판촉계획(고정)"/>
      <sheetName val="빙100장비사양"/>
      <sheetName val="입찰안"/>
      <sheetName val="97년 추정"/>
      <sheetName val="전체LIST"/>
      <sheetName val="반품상세"/>
      <sheetName val="guard(mac)"/>
      <sheetName val="VXXXXXXX"/>
      <sheetName val="tggwan(mac)"/>
      <sheetName val="건    재"/>
      <sheetName val="차량별점검"/>
      <sheetName val="engline"/>
      <sheetName val="출장거리"/>
      <sheetName val="미지급금"/>
      <sheetName val="금액"/>
      <sheetName val="운영계획"/>
      <sheetName val="손료기준-공사부구두문의"/>
      <sheetName val="투자예산"/>
      <sheetName val="선급법인세"/>
      <sheetName val="표지"/>
      <sheetName val="초과사유"/>
      <sheetName val="CMC ellipse"/>
      <sheetName val="Sheet4"/>
      <sheetName val="자체실적1Q"/>
      <sheetName val="tabl"/>
      <sheetName val="Sheet1"/>
      <sheetName val="LAB설비"/>
      <sheetName val="통계자료"/>
      <sheetName val="04월계획"/>
      <sheetName val="12월실적"/>
      <sheetName val="단가대비표"/>
      <sheetName val="Sheet2 (2)"/>
      <sheetName val="Listvalues"/>
      <sheetName val="OD5000"/>
      <sheetName val="개설수"/>
      <sheetName val="report_20"/>
      <sheetName val="camera_30"/>
      <sheetName val="KSHAHU-6"/>
      <sheetName val="결론"/>
      <sheetName val="KPI(전산)"/>
      <sheetName val="전년실적"/>
      <sheetName val="당월실적"/>
      <sheetName val="구분자룩업"/>
      <sheetName val="1분기용기보증금산정"/>
      <sheetName val="DATA"/>
      <sheetName val="항목(1)"/>
      <sheetName val="04월실적"/>
      <sheetName val="협조전"/>
      <sheetName val="4"/>
      <sheetName val="기초생년월일"/>
      <sheetName val="배합비(2,3.4분기)"/>
      <sheetName val="계획08"/>
      <sheetName val="10"/>
      <sheetName val="90"/>
      <sheetName val="40"/>
      <sheetName val="50"/>
      <sheetName val="60"/>
      <sheetName val="70"/>
      <sheetName val="camera_10"/>
      <sheetName val="2-8"/>
      <sheetName val="구분자"/>
      <sheetName val="판매 계획"/>
      <sheetName val="1월"/>
      <sheetName val="11가공(유형구분)"/>
      <sheetName val="주간예상실적(공업)"/>
      <sheetName val="Finished Goods "/>
      <sheetName val="누계 내외장재 비율"/>
      <sheetName val="예산M11A"/>
      <sheetName val="건재0001"/>
      <sheetName val="코드표"/>
      <sheetName val="機器明細(MC)"/>
      <sheetName val="기타수당"/>
      <sheetName val="연차수당"/>
      <sheetName val="03년 손익"/>
      <sheetName val="기본"/>
      <sheetName val="Sheet2"/>
      <sheetName val="매트"/>
      <sheetName val="사이즈"/>
      <sheetName val="용융"/>
      <sheetName val="티슈"/>
      <sheetName val="차수"/>
      <sheetName val="일위대가목록"/>
      <sheetName val="2012년경영자면담자료.xlsx"/>
      <sheetName val="정보매체A동"/>
      <sheetName val="일위대가"/>
      <sheetName val="조명일위"/>
      <sheetName val="S"/>
      <sheetName val="울산(코드별규격)"/>
      <sheetName val="보증금(판)"/>
      <sheetName val="판1부"/>
      <sheetName val="월별수입"/>
      <sheetName val="원재료비 UP-DATE"/>
      <sheetName val="과제"/>
      <sheetName val="2.대외공문"/>
      <sheetName val="박두익"/>
      <sheetName val="PDP"/>
      <sheetName val="수율추이"/>
      <sheetName val="세부(종합)"/>
      <sheetName val="생산판매재고"/>
      <sheetName val="9월누계(산지계)"/>
      <sheetName val=" 10개년 장기 판매계획 양식(산업용_플랜트).xlsx"/>
      <sheetName val="도입리스트"/>
      <sheetName val="로봇소프트플랫폼_기술분류"/>
      <sheetName val="미확인"/>
      <sheetName val="운영자금차입금"/>
      <sheetName val="주별납기"/>
      <sheetName val="2"/>
      <sheetName val="9907협력"/>
      <sheetName val="지부전체"/>
      <sheetName val="준검 내역서"/>
      <sheetName val="현재담보"/>
      <sheetName val="지급자재"/>
      <sheetName val="포장"/>
      <sheetName val="2003년 합계"/>
      <sheetName val="변경내역대비표(2)"/>
      <sheetName val="총괄표"/>
      <sheetName val="실행내역서(DCU)"/>
      <sheetName val="판매일반"/>
      <sheetName val="3.현황(창호_라미)"/>
      <sheetName val="3.현황(내외장재_상재)"/>
      <sheetName val="KCB단가코드"/>
      <sheetName val="거래선유형"/>
      <sheetName val="PATENT"/>
      <sheetName val="1과"/>
      <sheetName val="재정"/>
      <sheetName val="TTT"/>
      <sheetName val="연료비입력"/>
      <sheetName val="과단위"/>
      <sheetName val="가설재손료"/>
      <sheetName val="인원계획"/>
      <sheetName val="참고.반영율"/>
      <sheetName val="실적(2안)"/>
      <sheetName val="보증금(전신전화가입권)"/>
      <sheetName val="미착기계"/>
      <sheetName val="대전-교대(A1-A2)"/>
      <sheetName val=" 갑지"/>
      <sheetName val="손익11"/>
      <sheetName val="출금실적"/>
      <sheetName val="재무현황"/>
      <sheetName val="두께별"/>
      <sheetName val=" Global Top (2012-03-06).xlsx"/>
      <sheetName val="특판단가표"/>
      <sheetName val="재고"/>
      <sheetName val="TOTAL"/>
      <sheetName val="MOTOR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3.붙이기"/>
      <sheetName val="판매추정"/>
      <sheetName val="토지면적"/>
      <sheetName val="1인당GDP"/>
      <sheetName val="시도별추계인구"/>
      <sheetName val="미착재고현황전주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금강투자2000"/>
      <sheetName val="부서"/>
      <sheetName val="인상효1"/>
      <sheetName val="창호이맥스"/>
      <sheetName val="담보"/>
      <sheetName val="유리이맥스"/>
      <sheetName val="배합변경_1"/>
      <sheetName val="품질경영"/>
      <sheetName val="참고"/>
      <sheetName val="관할"/>
      <sheetName val="12"/>
      <sheetName val="품의서"/>
      <sheetName val="3.제품군별 실적(보고용)"/>
      <sheetName val="집계표(육상)"/>
      <sheetName val="9906"/>
      <sheetName val="매출"/>
      <sheetName val="이맥스"/>
      <sheetName val="SurveyTotals"/>
      <sheetName val="신제품1"/>
      <sheetName val="10월계획"/>
      <sheetName val="추가예산"/>
      <sheetName val="총원"/>
      <sheetName val="자동차표"/>
      <sheetName val="성형자료"/>
      <sheetName val="고정자산"/>
      <sheetName val="매출원가추정"/>
      <sheetName val="매출추정"/>
      <sheetName val="방정식그래프"/>
      <sheetName val="4월정산"/>
      <sheetName val="3월정산"/>
      <sheetName val="7월정산(8월)전체"/>
      <sheetName val="8월씨마크"/>
      <sheetName val="10월정산(9월사용-1)"/>
      <sheetName val="wall"/>
      <sheetName val="Front"/>
      <sheetName val="신제품3"/>
      <sheetName val="최종가공"/>
      <sheetName val="연돌일위집계"/>
      <sheetName val="수선계획표"/>
      <sheetName val="B"/>
      <sheetName val="상용"/>
      <sheetName val="기초자료"/>
      <sheetName val="견적집계표"/>
      <sheetName val="참조"/>
      <sheetName val="1인당매출"/>
      <sheetName val="기술자문 현재진행인력(기존+신규)"/>
      <sheetName val="CAT_5"/>
      <sheetName val="그래프"/>
      <sheetName val="삼성(당산)월하반기"/>
      <sheetName val="2013년누계불량채권"/>
      <sheetName val="2013년누계"/>
      <sheetName val="R&amp;D"/>
      <sheetName val="해외"/>
      <sheetName val="지역별수출"/>
      <sheetName val="참조1"/>
      <sheetName val="직노"/>
      <sheetName val="C11F"/>
      <sheetName val="tt-RESIN"/>
      <sheetName val="GRACE"/>
      <sheetName val="h-013211-2"/>
      <sheetName val="코드"/>
      <sheetName val="철콘(승대건설)"/>
      <sheetName val="BASE보유"/>
      <sheetName val="참조자료"/>
      <sheetName val="출고 자료합계(원본)"/>
      <sheetName val="변경증감내역서"/>
      <sheetName val="10월예약현황(씨마크)"/>
      <sheetName val="동해title"/>
      <sheetName val="집계표"/>
      <sheetName val="학력조회"/>
      <sheetName val="200005"/>
      <sheetName val="감축 아이템"/>
      <sheetName val="골조시행"/>
      <sheetName val="단위원가"/>
      <sheetName val="원단위 산출"/>
      <sheetName val="고정비 내역"/>
      <sheetName val="변동비 내역"/>
      <sheetName val="2월판매"/>
      <sheetName val="Tbom-tot"/>
      <sheetName val="석고보드"/>
      <sheetName val="능율"/>
      <sheetName val="석고보드(3호기)"/>
      <sheetName val="차액보증"/>
      <sheetName val="관리전폭"/>
      <sheetName val="전체"/>
      <sheetName val="Sheet3"/>
      <sheetName val="지질조사"/>
      <sheetName val="3.수익성향상"/>
      <sheetName val="홈씨씨 기존 제상품 매출 거래선 LIST"/>
      <sheetName val="배합비(99-06-15)"/>
      <sheetName val="2-2.매출분석"/>
      <sheetName val="사업소득자세수추계"/>
      <sheetName val="★원자재작업용"/>
      <sheetName val="필름(100826)"/>
      <sheetName val="보강재작업용"/>
      <sheetName val="★가격표(2011.03)"/>
      <sheetName val="제품구분"/>
      <sheetName val="200101"/>
      <sheetName val="한강운반비"/>
      <sheetName val="생산일정"/>
      <sheetName val="일위대가표"/>
      <sheetName val="2000년 신제품 내역"/>
      <sheetName val="작성기준"/>
      <sheetName val=" 2.건설사별 품목별 연도별 실적(9월3주차)_건설상품("/>
      <sheetName val="95D"/>
      <sheetName val="94D"/>
      <sheetName val="현황보고"/>
      <sheetName val="예산입력(전)"/>
      <sheetName val=" ◎2016년 기본예산 공장 - 투자 집계-2016022"/>
      <sheetName val=" 장외영향평가 진행 사항.xlsx"/>
      <sheetName val="Code(전체)"/>
      <sheetName val="★15년 기능직 인센티브 지급안(15.10.13)-최종("/>
      <sheetName val="1차설계변경내역"/>
      <sheetName val="계획담당자참고"/>
      <sheetName val="운반"/>
      <sheetName val=" 견적서"/>
      <sheetName val="세부추진"/>
      <sheetName val="상용_mp"/>
      <sheetName val=" 10개년 장기 판매계획 양식.xlsx"/>
      <sheetName val=" 장기재고 현황 (6월).xlsx"/>
      <sheetName val="변경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Sheet1 (2)"/>
      <sheetName val="3월"/>
      <sheetName val="1분기보증금산정"/>
      <sheetName val="기능인사자료"/>
      <sheetName val="전부서공통"/>
      <sheetName val="동재"/>
      <sheetName val="실행철강하도"/>
      <sheetName val="공문"/>
      <sheetName val="설계조건"/>
      <sheetName val="경비비교표(예실)"/>
      <sheetName val="조회서"/>
      <sheetName val="자료"/>
      <sheetName val="2공구산출내역"/>
      <sheetName val="실행예산"/>
      <sheetName val="기준데이터"/>
      <sheetName val="기준사항"/>
      <sheetName val="참조셀삭제금지"/>
      <sheetName val="맨홀수량산출"/>
      <sheetName val="안정계산"/>
      <sheetName val="단면검토"/>
      <sheetName val="1호인버트수량"/>
      <sheetName val="[9805허가.xls][9805허가.xls]A:\9805"/>
      <sheetName val="인벤토리총괄표"/>
      <sheetName val="SV SPEC."/>
      <sheetName val="작업추진 계획(일정)"/>
      <sheetName val="FY2006 KCC UP"/>
      <sheetName val="제품(수출)매출"/>
      <sheetName val="상품매출"/>
      <sheetName val="재고 "/>
      <sheetName val="01월실적값복사"/>
      <sheetName val="01월예산값복사"/>
      <sheetName val="RW"/>
      <sheetName val="주문량"/>
      <sheetName val="이송중"/>
      <sheetName val="이토변실"/>
      <sheetName val="2004생산량"/>
      <sheetName val="원재료단가"/>
      <sheetName val="DHEQSUPT"/>
      <sheetName val="가격"/>
      <sheetName val="1995년 섹터별 매출"/>
      <sheetName val="센스타일,강화마루 운영(안).xlsx"/>
      <sheetName val="대비2"/>
      <sheetName val="고려성적"/>
      <sheetName val="시간대별 Dia."/>
      <sheetName val="98지급계획"/>
      <sheetName val="철근집계표"/>
      <sheetName val=" 사장님 지시 신규거래선점검('15년 통보양식)-1505"/>
      <sheetName val="갑지"/>
      <sheetName val="실행"/>
      <sheetName val="[9805허가.xls][9805허가.xls]A__98_3"/>
      <sheetName val="[9805허가.xls][9805허가.xls]A__98_2"/>
      <sheetName val="[9805허가.xls][9805허가.xls]A__98_4"/>
      <sheetName val="[9805허가.xls][9805허가.xls]A__98_5"/>
      <sheetName val="[9805허가.xls][9805허가.xls]A__98_7"/>
      <sheetName val="[9805허가.xls][9805허가.xls]A__98_6"/>
      <sheetName val="[9805허가.xls][9805허가.xls]A__98_8"/>
      <sheetName val="자재"/>
      <sheetName val="[9805허가.xls][9805허가.xls]A__9_12"/>
      <sheetName val="[9805허가.xls][9805허가.xls]A__9_11"/>
      <sheetName val="[9805허가.xls][9805허가.xls]A__98_9"/>
      <sheetName val="[9805허가.xls][9805허가.xls]A__9_10"/>
      <sheetName val="[9805허가.xls][9805허가.xls]A__9_13"/>
      <sheetName val="[9805허가.xls][9805허가.xls]A__9_14"/>
      <sheetName val="[9805허가.xls][9805허가.xls]A__9_15"/>
      <sheetName val="[9805허가.xls][9805허가.xls]A__9_26"/>
      <sheetName val="[9805허가.xls][9805허가.xls]A__9_16"/>
      <sheetName val="[9805허가.xls][9805허가.xls]A__9_18"/>
      <sheetName val="[9805허가.xls][9805허가.xls]A__9_17"/>
      <sheetName val="[9805허가.xls][9805허가.xls]A__9_23"/>
      <sheetName val="[9805허가.xls][9805허가.xls]A__9_22"/>
      <sheetName val="[9805허가.xls][9805허가.xls]A__9_21"/>
      <sheetName val="[9805허가.xls][9805허가.xls]A__9_19"/>
      <sheetName val="[9805허가.xls][9805허가.xls]A__9_20"/>
      <sheetName val="[9805허가.xls][9805허가.xls]A__9_24"/>
      <sheetName val="[9805허가.xls][9805허가.xls]A__9_25"/>
      <sheetName val="[9805허가.xls][9805허가.xls]A__9_29"/>
      <sheetName val="[9805허가.xls][9805허가.xls]A__9_27"/>
      <sheetName val="[9805허가.xls][9805허가.xls]A__9_28"/>
      <sheetName val="[9805허가.xls][9805허가.xls]A__9_30"/>
      <sheetName val="[9805허가.xls][9805허가.xls]A__9_43"/>
      <sheetName val="[9805허가.xls][9805허가.xls]A__9_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/>
      <sheetData sheetId="46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C산출"/>
      <sheetName val="GW"/>
      <sheetName val="GC"/>
      <sheetName val="GMB"/>
      <sheetName val="용도별"/>
      <sheetName val="Sheet3"/>
      <sheetName val="유리면수정"/>
      <sheetName val="9907협력"/>
      <sheetName val="건설성적"/>
      <sheetName val="예산실적전체당월"/>
      <sheetName val="투자예산"/>
      <sheetName val="코드"/>
      <sheetName val="유리면(990309)"/>
      <sheetName val="이자율"/>
      <sheetName val="산출근거"/>
      <sheetName val="재정"/>
      <sheetName val="TTT"/>
      <sheetName val="TOTAL"/>
      <sheetName val="두께별"/>
      <sheetName val="1을"/>
      <sheetName val="기타수당"/>
      <sheetName val="연차수당"/>
      <sheetName val="機器明細(MC)"/>
      <sheetName val="투자양식"/>
      <sheetName val="수입"/>
      <sheetName val="PVC"/>
      <sheetName val="CODE"/>
      <sheetName val="통계자료"/>
      <sheetName val="OD5000"/>
      <sheetName val="db"/>
      <sheetName val="2.대외공문"/>
      <sheetName val="인건비(010330)"/>
      <sheetName val="총괄표"/>
      <sheetName val="규격"/>
      <sheetName val="MOTOR"/>
      <sheetName val="Sheet1"/>
      <sheetName val="비주거용"/>
      <sheetName val="LSH CODE"/>
      <sheetName val="MC산출근거"/>
      <sheetName val="실행철강하도"/>
      <sheetName val="본문"/>
      <sheetName val="세부(종합)"/>
      <sheetName val="예산입력(전)"/>
      <sheetName val="지급자재"/>
      <sheetName val="여과지동"/>
      <sheetName val="기초자료"/>
      <sheetName val="차수"/>
      <sheetName val="추가예산"/>
      <sheetName val="제품원재"/>
      <sheetName val="대외공문"/>
      <sheetName val="조선용암면"/>
      <sheetName val=" 견적서"/>
      <sheetName val="누계 내외장재 비율"/>
      <sheetName val="부착품"/>
      <sheetName val="E-BDATA"/>
      <sheetName val="기초일위"/>
      <sheetName val="시설일위"/>
      <sheetName val="조명일위"/>
      <sheetName val="실행예산"/>
      <sheetName val="총내역서"/>
      <sheetName val="CAUDIT"/>
      <sheetName val="불만처리현황"/>
      <sheetName val="물량표"/>
      <sheetName val="물량표S"/>
      <sheetName val="BASE"/>
      <sheetName val="집계표"/>
      <sheetName val="부재예실"/>
      <sheetName val="홈씨씨 기존 제상품 매출 거래선 LIST"/>
      <sheetName val="Sheet2"/>
      <sheetName val="수율추이"/>
      <sheetName val="연간rework환소"/>
      <sheetName val="연간rework포장"/>
      <sheetName val="Sheet2 (2)"/>
      <sheetName val="세부추진"/>
      <sheetName val="64164"/>
      <sheetName val="부재예실1월"/>
      <sheetName val="3.현황(창호_라미)"/>
      <sheetName val="3.현황(내외장재_상재)"/>
      <sheetName val="원하대비"/>
      <sheetName val="원도급"/>
      <sheetName val="하도급"/>
      <sheetName val="건재양식"/>
      <sheetName val="본예산"/>
      <sheetName val="변경증감내역서"/>
      <sheetName val="1"/>
      <sheetName val="배합비(99-05-25)"/>
      <sheetName val="참고자료(PM중점과제)"/>
      <sheetName val="준검 내역서"/>
      <sheetName val=" 갑지"/>
      <sheetName val="97년 추정"/>
      <sheetName val="설계조건"/>
      <sheetName val="당월실적"/>
      <sheetName val="1분기보증금산정"/>
      <sheetName val="물량10월"/>
      <sheetName val="tvr320"/>
      <sheetName val="수지공장 ITEM별 작업시간"/>
      <sheetName val="typecode"/>
      <sheetName val="Sheet6"/>
      <sheetName val="Sheet5"/>
      <sheetName val="Sheet4"/>
      <sheetName val="업무연락"/>
      <sheetName val="건재"/>
      <sheetName val="생략채권"/>
      <sheetName val="유리"/>
      <sheetName val="원본"/>
      <sheetName val="PAINT"/>
      <sheetName val="SUMMARY"/>
      <sheetName val="XL4Poppy"/>
      <sheetName val="기술자문현황(유형별)"/>
      <sheetName val="#93"/>
      <sheetName val="표지"/>
      <sheetName val="KD율"/>
      <sheetName val="C11F"/>
      <sheetName val="3TOP2부_11월 2주차 취합본.xlsx"/>
      <sheetName val="POWER"/>
      <sheetName val="코드표"/>
      <sheetName val="판매일반"/>
      <sheetName val="ID BY INVENTORY"/>
      <sheetName val="95년기준조정"/>
      <sheetName val="생산판매재고"/>
      <sheetName val="eq_data"/>
      <sheetName val="수리결과"/>
      <sheetName val="상용_mp"/>
      <sheetName val=" OEM상품 매출확대 방안_Ver2.0.xlsx"/>
      <sheetName val="VXXXXXXX"/>
      <sheetName val="GRACE"/>
      <sheetName val="CMC ellipse"/>
      <sheetName val="6월실적"/>
      <sheetName val="FCU (2)"/>
      <sheetName val="RD제품개발투자비(매가)"/>
      <sheetName val="4"/>
      <sheetName val="#REF"/>
      <sheetName val="인원01"/>
      <sheetName val="99기본"/>
      <sheetName val="COA-17"/>
      <sheetName val="C-18"/>
      <sheetName val="협조전"/>
      <sheetName val="PumpSpec"/>
      <sheetName val="예산M11A"/>
      <sheetName val="LEGEND"/>
      <sheetName val="VA_code"/>
      <sheetName val="견적집계표"/>
      <sheetName val="BQ"/>
      <sheetName val="초과사유"/>
      <sheetName val="월간"/>
      <sheetName val="피벗 (2)"/>
      <sheetName val="전직원명단_20011108"/>
      <sheetName val="Atomic Wt Data"/>
      <sheetName val="주별납기"/>
      <sheetName val="지부전체"/>
      <sheetName val="성형자료"/>
      <sheetName val="금강투자2000"/>
      <sheetName val="용해1"/>
      <sheetName val="용해2"/>
      <sheetName val="용해3"/>
      <sheetName val="용해5"/>
      <sheetName val="관리재고4월(~08년1월)"/>
      <sheetName val="실행내역서(DCU)"/>
      <sheetName val="6월"/>
      <sheetName val="조정유형06"/>
      <sheetName val="고려성적"/>
      <sheetName val="일년TOTAL"/>
      <sheetName val="재고"/>
      <sheetName val="9월누계(산지계)"/>
      <sheetName val="권역코드(0603)"/>
      <sheetName val="SUMMARY(S)"/>
      <sheetName val="00실적"/>
      <sheetName val="만년달력"/>
      <sheetName val="출장거리"/>
      <sheetName val="12년실적"/>
      <sheetName val="참고.반영율"/>
      <sheetName val="도입리스트"/>
      <sheetName val="매트"/>
      <sheetName val="사이즈"/>
      <sheetName val="용융"/>
      <sheetName val="티슈"/>
      <sheetName val="진행율"/>
      <sheetName val="DAT(목표)"/>
      <sheetName val="3.수익성향상"/>
      <sheetName val="북부"/>
      <sheetName val="신제품1"/>
      <sheetName val="신제품2"/>
      <sheetName val="신제품3"/>
      <sheetName val="예산(09년_WHITE)"/>
      <sheetName val="대비2"/>
      <sheetName val="부서"/>
      <sheetName val="2월판매"/>
      <sheetName val="손료기준-공사부구두문의"/>
      <sheetName val="콘크리트타설집계표"/>
      <sheetName val="참고"/>
      <sheetName val="월,누계 (2)"/>
      <sheetName val="작업"/>
      <sheetName val="2008 건재예산$100기준"/>
      <sheetName val="MAKER 별(3)"/>
      <sheetName val="DATA-페놀수지"/>
      <sheetName val="일위대가"/>
      <sheetName val="배합비(2,3.4분기)"/>
      <sheetName val="특판단가표"/>
      <sheetName val="월별수입"/>
      <sheetName val="원재료(LC_전체)"/>
      <sheetName val="원재료(전체_전체)"/>
      <sheetName val="당월보"/>
      <sheetName val="전년실적(판)"/>
      <sheetName val="원료"/>
      <sheetName val="단가"/>
      <sheetName val="원단위 산출"/>
      <sheetName val="고정비 내역"/>
      <sheetName val="변동비 내역"/>
      <sheetName val="실행간접비"/>
      <sheetName val="자금운용계획표"/>
      <sheetName val="공문"/>
      <sheetName val="1월"/>
      <sheetName val="판촉계획(고정)"/>
      <sheetName val="제안서"/>
      <sheetName val="행정표준(1)"/>
      <sheetName val="행정표준(2)"/>
      <sheetName val="건    재"/>
      <sheetName val="BASE보유"/>
      <sheetName val="참조자료"/>
      <sheetName val="전체LIST"/>
      <sheetName val="2003년 합계"/>
      <sheetName val="목차"/>
      <sheetName val="수주계획 (3)"/>
      <sheetName val="주간예상실적(공업)"/>
      <sheetName val="가설재손료"/>
      <sheetName val="인원계획"/>
      <sheetName val="3월"/>
      <sheetName val="피벗(월별아이템설계구분)"/>
      <sheetName val="개인별 아이템목표"/>
      <sheetName val="원가계산서"/>
      <sheetName val="담보"/>
      <sheetName val="창호이맥스"/>
      <sheetName val="유리이맥스"/>
      <sheetName val="5쪽"/>
      <sheetName val="RT산출1"/>
      <sheetName val="설계가"/>
      <sheetName val="포장"/>
      <sheetName val="주beam"/>
      <sheetName val="PBS"/>
      <sheetName val="95D"/>
      <sheetName val="94D"/>
      <sheetName val="기능인사자료"/>
      <sheetName val="★14 기본투자예산_ver3(신설수지 추가).xlsx"/>
      <sheetName val="연락처"/>
      <sheetName val="3_29기준"/>
      <sheetName val="S"/>
      <sheetName val="연료별 환산계수"/>
      <sheetName val=""/>
      <sheetName val="Database"/>
      <sheetName val="CAPVC"/>
      <sheetName val="일위대가표"/>
      <sheetName val="9906"/>
      <sheetName val="매출예산96"/>
      <sheetName val="시평"/>
      <sheetName val="입력란"/>
      <sheetName val="Sheet1 (2)"/>
      <sheetName val="2012.1월~현재(법률자문료비교)"/>
      <sheetName val="h-013211-2"/>
      <sheetName val="2013년원재료Brief"/>
      <sheetName val="적용환율"/>
      <sheetName val="첨부2 특판단가표"/>
      <sheetName val="Actual_Size"/>
      <sheetName val="투입 MM"/>
      <sheetName val="간접비내역-1"/>
      <sheetName val="B"/>
      <sheetName val="AT310"/>
      <sheetName val="간접비"/>
      <sheetName val="KPI(전산)"/>
      <sheetName val="정보과 예산(부수자료 언급)"/>
      <sheetName val="센스타일,강화마루 운영(안).xlsx"/>
      <sheetName val="예산(0902)_WHITE"/>
      <sheetName val="11가공(유형구분)"/>
      <sheetName val="드롭다운목록"/>
      <sheetName val="제조원가계산"/>
      <sheetName val="품목별매출"/>
      <sheetName val="울산 (2)"/>
      <sheetName val="가족수당"/>
      <sheetName val="상조회"/>
      <sheetName val="소득세"/>
      <sheetName val="SALTAB97"/>
      <sheetName val="의보"/>
      <sheetName val="생산직잔업"/>
      <sheetName val="Factor"/>
      <sheetName val="집계표(육상)"/>
      <sheetName val="철근집계표"/>
      <sheetName val="생산일정"/>
      <sheetName val="과단위"/>
      <sheetName val="KCB단가코드"/>
      <sheetName val="3BL공동구 수량"/>
      <sheetName val="판매 계획"/>
      <sheetName val="2-8"/>
      <sheetName val="참조1"/>
      <sheetName val="동해title"/>
      <sheetName val="_SLL"/>
      <sheetName val="960318-1"/>
      <sheetName val="LAB설비"/>
      <sheetName val="2000전체분"/>
      <sheetName val="2000년1차"/>
      <sheetName val="감가상각"/>
      <sheetName val="2002-12"/>
      <sheetName val="2003-01"/>
      <sheetName val="성형생산량"/>
      <sheetName val="단체(2)"/>
      <sheetName val="주거용 (2)"/>
      <sheetName val="2-2.매출분석"/>
      <sheetName val="2분기산정제품"/>
      <sheetName val="1.능률현황"/>
      <sheetName val="2.호선별예상실적"/>
      <sheetName val="Sheet7"/>
      <sheetName val="실적0902_WHITE"/>
      <sheetName val="3사인원"/>
      <sheetName val="품의서"/>
      <sheetName val="검사코멘트"/>
      <sheetName val="주소"/>
      <sheetName val="2분기"/>
      <sheetName val="3분기단가"/>
      <sheetName val="Follow. Up List"/>
      <sheetName val="울산(구분)"/>
      <sheetName val="총원가.14"/>
      <sheetName val="인원계획-미화"/>
      <sheetName val="배합변경_1"/>
      <sheetName val="품질경영"/>
      <sheetName val="손익11"/>
      <sheetName val="동재"/>
      <sheetName val="DailyInput"/>
      <sheetName val="Scenario 1"/>
      <sheetName val="5사남"/>
      <sheetName val="Severity"/>
      <sheetName val="USA"/>
      <sheetName val="CAT_5"/>
      <sheetName val="Exchange Rate Link Sheet"/>
      <sheetName val="full (2)"/>
      <sheetName val="Cover"/>
      <sheetName val="원료목록"/>
      <sheetName val="연차"/>
      <sheetName val="REY"/>
      <sheetName val="예산계획"/>
      <sheetName val="wall"/>
      <sheetName val="법인세신고자료"/>
      <sheetName val="화재 탐지 설비"/>
      <sheetName val="EurotoolsXRates"/>
      <sheetName val="Classes"/>
      <sheetName val="Tbom-tot"/>
      <sheetName val="Data"/>
      <sheetName val="AP"/>
      <sheetName val="AR"/>
      <sheetName val="EX"/>
      <sheetName val="PU"/>
      <sheetName val="RE"/>
      <sheetName val="SA"/>
      <sheetName val="INFO"/>
      <sheetName val="정산표"/>
      <sheetName val="SENSOR LIST"/>
      <sheetName val="Front"/>
      <sheetName val="해외"/>
      <sheetName val="3.PT개발계획"/>
      <sheetName val="codeSheet"/>
      <sheetName val="시산표"/>
      <sheetName val="건물명세"/>
      <sheetName val="M"/>
      <sheetName val="수성자동포장라인자동화.xlsx"/>
      <sheetName val="SALE&amp;COST"/>
      <sheetName val="직원신상"/>
      <sheetName val="Sales 2019"/>
      <sheetName val="Reimbursement Detail"/>
      <sheetName val="공사비 내역 (가)"/>
      <sheetName val="Chieftain-All"/>
      <sheetName val="Chieftain-LBO"/>
      <sheetName val="LINE LIST REVC"/>
      <sheetName val="기준"/>
      <sheetName val="Margin"/>
      <sheetName val="8.PILE  (돌출)"/>
      <sheetName val="□ 미출·관리(물류) (2)"/>
      <sheetName val="4월가격"/>
      <sheetName val="Query"/>
      <sheetName val="Values"/>
      <sheetName val="@공통코드"/>
      <sheetName val="노임단가"/>
      <sheetName val="경비_원본"/>
    </sheetNames>
    <sheetDataSet>
      <sheetData sheetId="0" refreshError="1">
        <row r="51">
          <cell r="B51">
            <v>88616</v>
          </cell>
          <cell r="C51">
            <v>59770</v>
          </cell>
          <cell r="D51">
            <v>47983</v>
          </cell>
        </row>
        <row r="52">
          <cell r="B52">
            <v>116421</v>
          </cell>
          <cell r="C52">
            <v>88616</v>
          </cell>
          <cell r="D52">
            <v>59770</v>
          </cell>
        </row>
        <row r="53">
          <cell r="B53">
            <v>105184</v>
          </cell>
          <cell r="C53">
            <v>116421</v>
          </cell>
          <cell r="D53">
            <v>88616</v>
          </cell>
        </row>
        <row r="54">
          <cell r="B54">
            <v>117790</v>
          </cell>
          <cell r="C54">
            <v>105184</v>
          </cell>
          <cell r="D54">
            <v>116421</v>
          </cell>
        </row>
        <row r="55">
          <cell r="B55">
            <v>116221</v>
          </cell>
          <cell r="C55">
            <v>117790</v>
          </cell>
          <cell r="D55">
            <v>105184</v>
          </cell>
        </row>
        <row r="56">
          <cell r="B56">
            <v>117328</v>
          </cell>
          <cell r="C56">
            <v>116221</v>
          </cell>
          <cell r="D56">
            <v>117790</v>
          </cell>
        </row>
        <row r="57">
          <cell r="B57">
            <v>113821</v>
          </cell>
          <cell r="C57">
            <v>117328</v>
          </cell>
          <cell r="D57">
            <v>116221</v>
          </cell>
        </row>
        <row r="58">
          <cell r="B58">
            <v>113374</v>
          </cell>
          <cell r="C58">
            <v>113821</v>
          </cell>
          <cell r="D58">
            <v>117328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W"/>
      <sheetName val="용도별 시장"/>
      <sheetName val="용도별 시장 (2)"/>
      <sheetName val="LW"/>
      <sheetName val="CW"/>
      <sheetName val="RMB (2)"/>
      <sheetName val="RC"/>
      <sheetName val="RT"/>
      <sheetName val="RT산출1"/>
      <sheetName val="RT산출1 (2)"/>
      <sheetName val="RT난출2 (3)"/>
      <sheetName val="RT난출2"/>
      <sheetName val="RT산출3"/>
      <sheetName val="제품별 (98.6)"/>
      <sheetName val="조선용암면"/>
      <sheetName val="조선용암면 (2)"/>
      <sheetName val="산출근거"/>
      <sheetName val="소요환산"/>
      <sheetName val="비주거용"/>
      <sheetName val="은행"/>
      <sheetName val="GC산출"/>
      <sheetName val="00실적"/>
      <sheetName val="생산판매재고"/>
      <sheetName val="부재예실"/>
      <sheetName val="예산실적전체당월"/>
      <sheetName val="부재예실1월"/>
      <sheetName val="월별수입"/>
      <sheetName val="사업"/>
      <sheetName val="부서"/>
      <sheetName val="미지급금"/>
      <sheetName val="판매일반"/>
      <sheetName val="Sheet2"/>
      <sheetName val="통계자료"/>
      <sheetName val="수입"/>
      <sheetName val=" 특판지원부5월 마감자료(05.07).xlsx"/>
      <sheetName val="소개"/>
      <sheetName val="건축도급단가"/>
      <sheetName val="실행단가"/>
      <sheetName val="매트"/>
      <sheetName val="사이즈"/>
      <sheetName val="용융"/>
      <sheetName val="티슈"/>
      <sheetName val="MC산출근거"/>
      <sheetName val="RW장기(990510)"/>
      <sheetName val="3사인원"/>
      <sheetName val="1"/>
      <sheetName val="기초일위"/>
      <sheetName val="機器明細(MC)"/>
      <sheetName val="시설일위"/>
      <sheetName val="조명일위"/>
      <sheetName val="총내역서"/>
      <sheetName val="배합비(2,3.4분기)"/>
      <sheetName val="수리결과"/>
      <sheetName val="#REF"/>
      <sheetName val="Sheet1"/>
      <sheetName val="건재양식"/>
      <sheetName val="투자예산"/>
      <sheetName val="Sheet4"/>
      <sheetName val="예산입력(전)"/>
      <sheetName val="년차수당"/>
      <sheetName val="95년기준조정"/>
      <sheetName val="LC-PLAN "/>
      <sheetName val="집계표(육상)"/>
      <sheetName val="MOTOR"/>
      <sheetName val="정부노임단가"/>
      <sheetName val="개설수"/>
      <sheetName val="홈씨씨 기존 제상품 매출 거래선 LIST"/>
      <sheetName val="매출금액"/>
      <sheetName val="누계 내외장재 비율"/>
      <sheetName val="두께별"/>
      <sheetName val="설계가"/>
      <sheetName val="협조전"/>
      <sheetName val="단가"/>
      <sheetName val="1을"/>
      <sheetName val="CMC ellipse5t ab"/>
      <sheetName val="사무직인사사항"/>
      <sheetName val="손익11"/>
      <sheetName val="PVC"/>
      <sheetName val="건재"/>
      <sheetName val="생략채권"/>
      <sheetName val="유리"/>
      <sheetName val="박두익"/>
      <sheetName val="배합비(99-05-25)"/>
      <sheetName val="그래프"/>
      <sheetName val="제품원재"/>
      <sheetName val="BASE"/>
      <sheetName val="95MAKER"/>
      <sheetName val="TOTAL"/>
      <sheetName val="지수"/>
      <sheetName val="건설성적"/>
      <sheetName val="이자율"/>
      <sheetName val="주간업무보고 공정개발부_기술.xlsx"/>
      <sheetName val="MACRO1.XLM"/>
      <sheetName val="일위대가"/>
      <sheetName val="TL rieng"/>
      <sheetName val="입찰안"/>
      <sheetName val="코드표"/>
      <sheetName val="INPUT DATA"/>
      <sheetName val="VXXXXXXX"/>
      <sheetName val="재정"/>
      <sheetName val="TTT"/>
      <sheetName val="법인세신고자료"/>
      <sheetName val="DATA"/>
      <sheetName val="주별납기"/>
      <sheetName val="h-013211-2"/>
      <sheetName val="전직원명단_20011108"/>
      <sheetName val="업무연락"/>
      <sheetName val="Sheet6"/>
      <sheetName val="Finished Goods "/>
      <sheetName val="표지"/>
      <sheetName val="Table(SE)"/>
      <sheetName val="MH_생산"/>
      <sheetName val="2.대외공문"/>
      <sheetName val="4"/>
      <sheetName val=" 10개년 장기 판매계획 양식(산업용_플랜트).xlsx"/>
      <sheetName val="11가공(유형구분)"/>
      <sheetName val="운영계획"/>
      <sheetName val="승용"/>
      <sheetName val="2013년누계불량채권"/>
      <sheetName val="Kimdh"/>
      <sheetName val="Front"/>
      <sheetName val="SurveyTotals"/>
      <sheetName val="실행예산"/>
      <sheetName val="건재0001"/>
      <sheetName val="Atomic Wt Data"/>
      <sheetName val="C11F"/>
      <sheetName val="Low Data 누계"/>
      <sheetName val="동해title"/>
      <sheetName val="철근집계표"/>
      <sheetName val="3.현황(창호_라미)"/>
      <sheetName val="3.현황(내외장재_상재)"/>
      <sheetName val="9806-9901"/>
      <sheetName val="9907협력"/>
      <sheetName val="상용_mp"/>
      <sheetName val="Feed 개선"/>
      <sheetName val="OD5000"/>
      <sheetName val="예산M11A"/>
      <sheetName val="주간예상실적(공업)"/>
      <sheetName val="PP%계산"/>
      <sheetName val="코드"/>
      <sheetName val="세부추진"/>
      <sheetName val="E-BDATA"/>
      <sheetName val="일위대가목록"/>
      <sheetName val="USA"/>
      <sheetName val="MISCELLANIOUS"/>
      <sheetName val="간접비"/>
      <sheetName val="KTMC-1000"/>
      <sheetName val="KTMC-3000"/>
      <sheetName val="KTMC-5000"/>
      <sheetName val=" 장기재고 현황 (6월).xlsx"/>
      <sheetName val="구동"/>
      <sheetName val="견적조건"/>
      <sheetName val="실행철강하도"/>
      <sheetName val="인원"/>
      <sheetName val="선급미지급비용"/>
      <sheetName val="97년 추정"/>
      <sheetName val=" 10개년 장기 판매계획 양식.xlsx"/>
      <sheetName val="물량표"/>
      <sheetName val="포장"/>
      <sheetName val="영업소별 월별 아이템별 목표대비실적"/>
      <sheetName val="시간대별 Dia."/>
      <sheetName val="db"/>
      <sheetName val="Sheet3"/>
      <sheetName val="KD율"/>
      <sheetName val="Units"/>
      <sheetName val="Instructions"/>
      <sheetName val="Cover"/>
      <sheetName val="Total DFT Input"/>
      <sheetName val="Shadow"/>
      <sheetName val="Serial No."/>
      <sheetName val="출고 자료합계(원본)"/>
      <sheetName val="출고 자료합계(~FEB)"/>
      <sheetName val="원료생산부"/>
      <sheetName val="2-2.매출분석"/>
      <sheetName val="전년실적"/>
      <sheetName val=" 견적서"/>
      <sheetName val="_포상대상_선정을_위한_원가절감(16.11.25).xls"/>
      <sheetName val="2000년 신제품 내역"/>
      <sheetName val="Sheet5"/>
      <sheetName val="16년팀별"/>
      <sheetName val="2-8"/>
      <sheetName val="대비2"/>
      <sheetName val="TG9504"/>
      <sheetName val="제조사용"/>
      <sheetName val=""/>
      <sheetName val="(공장-부서별)"/>
      <sheetName val="Tiburon"/>
      <sheetName val="6PILE  (돌출)"/>
      <sheetName val="제안서"/>
      <sheetName val="행정표준(1)"/>
      <sheetName val="행정표준(2)"/>
      <sheetName val="제품분류코드"/>
      <sheetName val="CAUDIT"/>
      <sheetName val="결론"/>
      <sheetName val="외화가수금"/>
      <sheetName val="2003 finger pin 투입 전후(5mm)"/>
      <sheetName val="Factor"/>
      <sheetName val="GEUB "/>
      <sheetName val="BUDGCM"/>
      <sheetName val="준비및체크사항"/>
      <sheetName val="원본"/>
      <sheetName val="교대"/>
      <sheetName val="PL Vua"/>
      <sheetName val="대비"/>
      <sheetName val="Khoi luong"/>
      <sheetName val="Note"/>
      <sheetName val="개산공사비"/>
      <sheetName val="FAB별"/>
      <sheetName val="성형생산량"/>
      <sheetName val="비용"/>
      <sheetName val="3월 법인별 DGU 출고량_완성.xlsx"/>
      <sheetName val="5사남"/>
      <sheetName val="DATE"/>
      <sheetName val="산출내역서집계표"/>
      <sheetName val="4차원가계산서"/>
      <sheetName val="산출내역서"/>
      <sheetName val="전부서공통"/>
      <sheetName val="#93"/>
      <sheetName val="RD제품개발투자비(매가)"/>
      <sheetName val="FCU (2)"/>
      <sheetName val="부착품"/>
      <sheetName val="3.PT개발계획"/>
      <sheetName val="6월실적"/>
      <sheetName val="Sheet1 (2)"/>
      <sheetName val="주문량"/>
      <sheetName val="이송중"/>
      <sheetName val="실행내역서(DCU)"/>
      <sheetName val="항목"/>
      <sheetName val="대차확인"/>
      <sheetName val="Settings"/>
      <sheetName val="zeus no links"/>
      <sheetName val="EQT-ESTN"/>
      <sheetName val="보할공정"/>
      <sheetName val="수량 산출서(당초)"/>
      <sheetName val="사급자재총괄"/>
      <sheetName val=" 수출팀 이관거래선.xlsx"/>
      <sheetName val="매출"/>
      <sheetName val="4월가격"/>
      <sheetName val="용도별_시장"/>
      <sheetName val="용도별_시장_(2)"/>
      <sheetName val="RMB_(2)"/>
      <sheetName val="RT산출1_(2)"/>
      <sheetName val="RT난출2_(3)"/>
      <sheetName val="제품별_(98_6)"/>
      <sheetName val="조선용암면_(2)"/>
      <sheetName val="_특판지원부5월_마감자료(05_07)_xlsx"/>
      <sheetName val="배합비(2,3_4분기)"/>
      <sheetName val="LC-PLAN_"/>
      <sheetName val="홈씨씨_기존_제상품_매출_거래선_LIST"/>
      <sheetName val="누계_내외장재_비율"/>
      <sheetName val="CMC_ellipse5t_ab"/>
      <sheetName val="주간업무보고_공정개발부_기술_xlsx"/>
      <sheetName val="MACRO1_XLM"/>
      <sheetName val="TL_rieng"/>
      <sheetName val="INPUT_DATA"/>
      <sheetName val="Finished_Goods_"/>
      <sheetName val="2_대외공문"/>
      <sheetName val="_10개년_장기_판매계획_양식(산업용_플랜트)_xlsx"/>
      <sheetName val="Atomic_Wt_Data"/>
      <sheetName val="Low_Data_누계"/>
      <sheetName val="3_현황(창호_라미)"/>
      <sheetName val="3_현황(내외장재_상재)"/>
      <sheetName val="Feed_개선"/>
      <sheetName val="_장기재고_현황_(6월)_xlsx"/>
      <sheetName val="영업소별_월별_아이템별_목표대비실적"/>
      <sheetName val="97년_추정"/>
      <sheetName val="_10개년_장기_판매계획_양식_xlsx"/>
      <sheetName val="시간대별_Dia_"/>
      <sheetName val="Total_DFT_Input"/>
      <sheetName val="Serial_No_"/>
      <sheetName val="출고_자료합계(원본)"/>
      <sheetName val="출고_자료합계(~FEB)"/>
      <sheetName val="2-2_매출분석"/>
      <sheetName val="_견적서"/>
      <sheetName val="_포상대상_선정을_위한_원가절감(16_11_25)_xls"/>
      <sheetName val="2000년_신제품_내역"/>
      <sheetName val="6PILE__(돌출)"/>
      <sheetName val="2003_finger_pin_투입_전후(5mm)"/>
      <sheetName val="GEUB_"/>
      <sheetName val="보고서P"/>
      <sheetName val="투자양식"/>
      <sheetName val="full (2)"/>
      <sheetName val="456소요량"/>
      <sheetName val="2월소요량"/>
      <sheetName val="3월소요량"/>
      <sheetName val="빗물받이(910-510-410)"/>
      <sheetName val="eq_data"/>
      <sheetName val="담당"/>
      <sheetName val="영업유형"/>
      <sheetName val="BID"/>
      <sheetName val="04월 검수재고 점검"/>
      <sheetName val="THEME CODE"/>
      <sheetName val="CR CODE"/>
      <sheetName val="부서CODE"/>
      <sheetName val="언양"/>
      <sheetName val="기능직"/>
      <sheetName val="조절판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9">
          <cell r="B9">
            <v>4429</v>
          </cell>
          <cell r="C9">
            <v>4567</v>
          </cell>
          <cell r="D9">
            <v>3049</v>
          </cell>
        </row>
        <row r="10">
          <cell r="B10">
            <v>4567</v>
          </cell>
          <cell r="C10">
            <v>4867</v>
          </cell>
          <cell r="D10">
            <v>3273</v>
          </cell>
        </row>
        <row r="11">
          <cell r="B11">
            <v>4867</v>
          </cell>
          <cell r="C11">
            <v>5170</v>
          </cell>
          <cell r="D11">
            <v>3762</v>
          </cell>
        </row>
        <row r="12">
          <cell r="B12">
            <v>5170</v>
          </cell>
          <cell r="C12">
            <v>5662</v>
          </cell>
          <cell r="D12">
            <v>4212</v>
          </cell>
        </row>
        <row r="13">
          <cell r="B13">
            <v>5662</v>
          </cell>
          <cell r="C13">
            <v>7798</v>
          </cell>
          <cell r="D13">
            <v>4879</v>
          </cell>
        </row>
        <row r="14">
          <cell r="B14">
            <v>7798</v>
          </cell>
          <cell r="C14">
            <v>7449</v>
          </cell>
          <cell r="D14">
            <v>5794</v>
          </cell>
        </row>
        <row r="15">
          <cell r="B15">
            <v>7449</v>
          </cell>
          <cell r="C15">
            <v>8634</v>
          </cell>
          <cell r="D15">
            <v>7380</v>
          </cell>
        </row>
        <row r="16">
          <cell r="B16">
            <v>8634</v>
          </cell>
          <cell r="C16">
            <v>9000</v>
          </cell>
          <cell r="D16">
            <v>7500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비주거용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산출근거"/>
      <sheetName val="GC산출"/>
      <sheetName val="건재양식"/>
      <sheetName val="건재"/>
      <sheetName val="생략채권"/>
      <sheetName val="유리"/>
      <sheetName val="PVC"/>
      <sheetName val="일년TOTAL"/>
      <sheetName val="코드표(세무증빙표)"/>
      <sheetName val="건설성적"/>
      <sheetName val="월간"/>
      <sheetName val="9805허가"/>
      <sheetName val="부재예실"/>
      <sheetName val=" 17. 유기소재.xlsx"/>
      <sheetName val="배합비(99-05-25)"/>
      <sheetName val="출장거리"/>
      <sheetName val="MC산출근거"/>
      <sheetName val="승용"/>
      <sheetName val="원본"/>
      <sheetName val="00실적"/>
      <sheetName val="5사남"/>
      <sheetName val="골프모래"/>
      <sheetName val="제품원재"/>
      <sheetName val="제안서"/>
      <sheetName val="행정표준(1)"/>
      <sheetName val="행정표준(2)"/>
      <sheetName val="단가"/>
      <sheetName val="#REF"/>
      <sheetName val="000000"/>
      <sheetName val="LEGEND"/>
      <sheetName val="년차수당"/>
      <sheetName val="1을"/>
      <sheetName val="VA_code"/>
      <sheetName val="95년기준조정"/>
      <sheetName val="부재예실1월"/>
      <sheetName val="피벗 (2)"/>
      <sheetName val="신규DEP"/>
      <sheetName val="5.세운W-A"/>
      <sheetName val="RD제품개발투자비(매가)"/>
      <sheetName val="수리결과"/>
      <sheetName val="5쪽"/>
      <sheetName val="예산실적전체당월"/>
      <sheetName val="판촉계획(고정)"/>
      <sheetName val="BASE"/>
      <sheetName val="95MAKER"/>
      <sheetName val="Atomic Wt Data"/>
      <sheetName val="3사인원"/>
      <sheetName val="조선용암면"/>
      <sheetName val="부대시설"/>
      <sheetName val="Apt내역"/>
      <sheetName val="빙100장비사양"/>
      <sheetName val="투찰추정"/>
      <sheetName val="입찰안"/>
      <sheetName val="건축도급단가"/>
      <sheetName val="실행단가"/>
      <sheetName val="1"/>
      <sheetName val="이자율"/>
      <sheetName val="전체LIST"/>
      <sheetName val="반품상세"/>
      <sheetName val="guard(mac)"/>
      <sheetName val="VXXXXXXX"/>
      <sheetName val="tggwan(mac)"/>
      <sheetName val="건    재"/>
      <sheetName val="차량별점검"/>
      <sheetName val="engline"/>
      <sheetName val="미지급금"/>
      <sheetName val="금액"/>
      <sheetName val="운영계획"/>
      <sheetName val="손료기준-공사부구두문의"/>
      <sheetName val="tabl"/>
      <sheetName val="Sheet1"/>
      <sheetName val="LAB설비"/>
      <sheetName val="97년 추정"/>
      <sheetName val="투자예산"/>
      <sheetName val="통계자료"/>
      <sheetName val="초과사유"/>
      <sheetName val="CMC ellipse"/>
      <sheetName val="Sheet4"/>
      <sheetName val="선급법인세"/>
      <sheetName val="OD5000"/>
      <sheetName val="개설수"/>
      <sheetName val="KPI(전산)"/>
      <sheetName val="자체실적1Q"/>
      <sheetName val="표지"/>
      <sheetName val="Sheet2 (2)"/>
      <sheetName val="04월계획"/>
      <sheetName val="12월실적"/>
      <sheetName val="단가대비표"/>
      <sheetName val="Listvalues"/>
      <sheetName val="report_20"/>
      <sheetName val="camera_30"/>
      <sheetName val="전년실적"/>
      <sheetName val="당월실적"/>
      <sheetName val="구분자룩업"/>
      <sheetName val="1분기용기보증금산정"/>
      <sheetName val="DATA"/>
      <sheetName val="04월실적"/>
      <sheetName val="항목(1)"/>
      <sheetName val="주간예상실적(공업)"/>
      <sheetName val="Finished Goods "/>
      <sheetName val="누계 내외장재 비율"/>
      <sheetName val="기초생년월일"/>
      <sheetName val="배합비(2,3.4분기)"/>
      <sheetName val="KSHAHU-6"/>
      <sheetName val="결론"/>
      <sheetName val="협조전"/>
      <sheetName val="4"/>
      <sheetName val="계획08"/>
      <sheetName val="2-8"/>
      <sheetName val="10"/>
      <sheetName val="90"/>
      <sheetName val="40"/>
      <sheetName val="50"/>
      <sheetName val="60"/>
      <sheetName val="70"/>
      <sheetName val="camera_10"/>
      <sheetName val="판매 계획"/>
      <sheetName val="1월"/>
      <sheetName val="박두익"/>
      <sheetName val="원재료비 UP-DATE"/>
      <sheetName val="PDP"/>
      <sheetName val="수율추이"/>
      <sheetName val="11가공(유형구분)"/>
      <sheetName val=" 10개년 장기 판매계획 양식(산업용_플랜트).xlsx"/>
      <sheetName val="도입리스트"/>
      <sheetName val="구분자"/>
      <sheetName val="코드표"/>
      <sheetName val="機器明細(MC)"/>
      <sheetName val="기타수당"/>
      <sheetName val="연차수당"/>
      <sheetName val="03년 손익"/>
      <sheetName val="기본"/>
      <sheetName val="Sheet2"/>
      <sheetName val="예산M11A"/>
      <sheetName val="매트"/>
      <sheetName val="사이즈"/>
      <sheetName val="용융"/>
      <sheetName val="티슈"/>
      <sheetName val="2.대외공문"/>
      <sheetName val="9907협력"/>
      <sheetName val="지부전체"/>
      <sheetName val="준검 내역서"/>
      <sheetName val="포장"/>
      <sheetName val="거래선유형"/>
      <sheetName val="PATENT"/>
      <sheetName val="건재0001"/>
      <sheetName val="차수"/>
      <sheetName val="일위대가목록"/>
      <sheetName val="정보매체A동"/>
      <sheetName val="1과"/>
      <sheetName val="재정"/>
      <sheetName val="TTT"/>
      <sheetName val="일위대가"/>
      <sheetName val="2012년경영자면담자료.xlsx"/>
      <sheetName val="S"/>
      <sheetName val="울산(코드별규격)"/>
      <sheetName val="보증금(판)"/>
      <sheetName val="판1부"/>
      <sheetName val="월별수입"/>
      <sheetName val="조명일위"/>
      <sheetName val="로봇소프트플랫폼_기술분류"/>
      <sheetName val="운영자금차입금"/>
      <sheetName val="주별납기"/>
      <sheetName val="세부(종합)"/>
      <sheetName val="과제"/>
      <sheetName val="생산판매재고"/>
      <sheetName val="미확인"/>
      <sheetName val="현재담보"/>
      <sheetName val="과단위"/>
      <sheetName val="연료비입력"/>
      <sheetName val="9월누계(산지계)"/>
      <sheetName val="2"/>
      <sheetName val="가설재손료"/>
      <sheetName val="인원계획"/>
      <sheetName val="참고.반영율"/>
      <sheetName val="판매일반"/>
      <sheetName val="MOTOR"/>
      <sheetName val="TOTAL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고정자산"/>
      <sheetName val="매출원가추정"/>
      <sheetName val="매출추정"/>
      <sheetName val="방정식그래프"/>
      <sheetName val="지급자재"/>
      <sheetName val="2003년 합계"/>
      <sheetName val="변경내역대비표(2)"/>
      <sheetName val="총괄표"/>
      <sheetName val="실행내역서(DCU)"/>
      <sheetName val="KCB단가코드"/>
      <sheetName val="보증금(전신전화가입권)"/>
      <sheetName val="미착기계"/>
      <sheetName val="대전-교대(A1-A2)"/>
      <sheetName val="실적(2안)"/>
      <sheetName val=" 갑지"/>
      <sheetName val="특판단가표"/>
      <sheetName val="손익11"/>
      <sheetName val="재고"/>
      <sheetName val="그래프"/>
      <sheetName val="3.현황(창호_라미)"/>
      <sheetName val="3.현황(내외장재_상재)"/>
      <sheetName val="두께별"/>
      <sheetName val=" Global Top (2012-03-06).xlsx"/>
      <sheetName val="출금실적"/>
      <sheetName val="재무현황"/>
      <sheetName val="3.붙이기"/>
      <sheetName val="판매추정"/>
      <sheetName val="토지면적"/>
      <sheetName val="1인당GDP"/>
      <sheetName val="시도별추계인구"/>
      <sheetName val="미착재고현황전주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금강투자2000"/>
      <sheetName val="부서"/>
      <sheetName val="인상효1"/>
      <sheetName val="창호이맥스"/>
      <sheetName val="담보"/>
      <sheetName val="유리이맥스"/>
      <sheetName val="배합변경_1"/>
      <sheetName val="품질경영"/>
      <sheetName val="참고"/>
      <sheetName val="관할"/>
      <sheetName val="12"/>
      <sheetName val="품의서"/>
      <sheetName val="3.제품군별 실적(보고용)"/>
      <sheetName val="SurveyTotals"/>
      <sheetName val="삼성(당산)월하반기"/>
      <sheetName val="C11F"/>
      <sheetName val="신제품1"/>
      <sheetName val="10월계획"/>
      <sheetName val="추가예산"/>
      <sheetName val="총원"/>
      <sheetName val="자동차표"/>
      <sheetName val="성형자료"/>
      <sheetName val="4월정산"/>
      <sheetName val="3월정산"/>
      <sheetName val="7월정산(8월)전체"/>
      <sheetName val="8월씨마크"/>
      <sheetName val="10월정산(9월사용-1)"/>
      <sheetName val="wall"/>
      <sheetName val="Front"/>
      <sheetName val="최종가공"/>
      <sheetName val="GRACE"/>
      <sheetName val="tt-RESIN"/>
      <sheetName val="지역별수출"/>
      <sheetName val="참조1"/>
      <sheetName val="출고 자료합계(원본)"/>
      <sheetName val="동해title"/>
      <sheetName val="배합비(99-06-15)"/>
      <sheetName val="골조시행"/>
      <sheetName val="집계표(육상)"/>
      <sheetName val="9906"/>
      <sheetName val="2013년누계불량채권"/>
      <sheetName val="2013년누계"/>
      <sheetName val="R&amp;D"/>
      <sheetName val="해외"/>
      <sheetName val="연돌일위집계"/>
      <sheetName val="수선계획표"/>
      <sheetName val="매출"/>
      <sheetName val="이맥스"/>
      <sheetName val="신제품3"/>
      <sheetName val="참조"/>
      <sheetName val="직노"/>
      <sheetName val="h-013211-2"/>
      <sheetName val="코드"/>
      <sheetName val="철콘(승대건설)"/>
      <sheetName val="BASE보유"/>
      <sheetName val="참조자료"/>
      <sheetName val="B"/>
      <sheetName val="상용"/>
      <sheetName val="석고보드"/>
      <sheetName val="능율"/>
      <sheetName val="석고보드(3호기)"/>
      <sheetName val="홈씨씨 기존 제상품 매출 거래선 LIST"/>
      <sheetName val="기초자료"/>
      <sheetName val="견적집계표"/>
      <sheetName val="1인당매출"/>
      <sheetName val="변경증감내역서"/>
      <sheetName val="10월예약현황(씨마크)"/>
      <sheetName val="2-2.매출분석"/>
      <sheetName val="집계표"/>
      <sheetName val="학력조회"/>
      <sheetName val="200005"/>
      <sheetName val="감축 아이템"/>
      <sheetName val="2000년 신제품 내역"/>
      <sheetName val="세부추진"/>
      <sheetName val="상용_mp"/>
      <sheetName val="2월판매"/>
      <sheetName val="차액보증"/>
      <sheetName val="관리전폭"/>
      <sheetName val="전체"/>
      <sheetName val="Sheet3"/>
      <sheetName val="지질조사"/>
      <sheetName val="3.수익성향상"/>
      <sheetName val="기술자문 현재진행인력(기존+신규)"/>
      <sheetName val="CAT_5"/>
      <sheetName val="사업소득자세수추계"/>
      <sheetName val="★원자재작업용"/>
      <sheetName val="필름(100826)"/>
      <sheetName val="보강재작업용"/>
      <sheetName val="★가격표(2011.03)"/>
      <sheetName val="제품구분"/>
      <sheetName val="200101"/>
      <sheetName val="한강운반비"/>
      <sheetName val="생산일정"/>
      <sheetName val="일위대가표"/>
      <sheetName val="단위원가"/>
      <sheetName val="원단위 산출"/>
      <sheetName val="고정비 내역"/>
      <sheetName val="변동비 내역"/>
      <sheetName val="1차설계변경내역"/>
      <sheetName val="운반"/>
      <sheetName val=" 10개년 장기 판매계획 양식.xlsx"/>
      <sheetName val=" 장기재고 현황 (6월).xlsx"/>
      <sheetName val="변경"/>
      <sheetName val="Tbom-tot"/>
      <sheetName val="시간대별 Dia."/>
      <sheetName val="작성기준"/>
      <sheetName val="95D"/>
      <sheetName val="94D"/>
      <sheetName val="예산입력(전)"/>
      <sheetName val="현황보고"/>
      <sheetName val="계획담당자참고"/>
      <sheetName val="Code(전체)"/>
      <sheetName val="★15년 기능직 인센티브 지급안(15.10.13)-최종("/>
      <sheetName val=" ◎2016년 기본예산 공장 - 투자 집계-2016022"/>
      <sheetName val=" 2.건설사별 품목별 연도별 실적(9월3주차)_건설상품("/>
      <sheetName val=" 장외영향평가 진행 사항.xlsx"/>
      <sheetName val="실행철강하도"/>
      <sheetName val="동재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Sheet1 (2)"/>
      <sheetName val="3월"/>
      <sheetName val="1분기보증금산정"/>
      <sheetName val="기능인사자료"/>
      <sheetName val="전부서공통"/>
      <sheetName val="공문"/>
      <sheetName val="설계조건"/>
      <sheetName val="경비비교표(예실)"/>
      <sheetName val="조회서"/>
      <sheetName val="자료"/>
      <sheetName val="2공구산출내역"/>
      <sheetName val="실행예산"/>
      <sheetName val="기준데이터"/>
      <sheetName val="철근집계표"/>
      <sheetName val="RW"/>
      <sheetName val=" 사장님 지시 신규거래선점검('15년 통보양식)-1505"/>
      <sheetName val="INPUT DATA"/>
      <sheetName val="갑지"/>
      <sheetName val="실행"/>
      <sheetName val="XREF"/>
      <sheetName val="99노임기준"/>
      <sheetName val="계정코드집"/>
      <sheetName val="활동코드집"/>
      <sheetName val="_________________15________15_2"/>
      <sheetName val="원재료비"/>
      <sheetName val="건설사&amp;지역구분 "/>
      <sheetName val="_____지시_신__래선점___15___보양식__15_2"/>
      <sheetName val=" 견적서"/>
      <sheetName val="인벤토리총괄표"/>
      <sheetName val="SV SPEC."/>
      <sheetName val="작업추진 계획(일정)"/>
      <sheetName val="FY2006 KCC UP"/>
      <sheetName val="제품(수출)매출"/>
      <sheetName val="상품매출"/>
      <sheetName val="재고 "/>
      <sheetName val="01월실적값복사"/>
      <sheetName val="01월예산값복사"/>
      <sheetName val="주문량"/>
      <sheetName val="이송중"/>
      <sheetName val="이토변실"/>
      <sheetName val="기준사항"/>
      <sheetName val="참조셀삭제금지"/>
      <sheetName val="[9805허가.xls][9805허가.xls]A__98_6"/>
      <sheetName val="[9805허가.xls][9805허가.xls]A__98_3"/>
      <sheetName val="맨홀수량산출"/>
      <sheetName val="안정계산"/>
      <sheetName val="단면검토"/>
      <sheetName val="1호인버트수량"/>
      <sheetName val="2004생산량"/>
      <sheetName val="원재료단가"/>
      <sheetName val="DHEQSUPT"/>
      <sheetName val="가격"/>
      <sheetName val="1995년 섹터별 매출"/>
      <sheetName val="센스타일,강화마루 운영(안).xlsx"/>
      <sheetName val="대비2"/>
      <sheetName val="고려성적"/>
      <sheetName val="[9805허가.xls][9805허가.xls]A__98_2"/>
      <sheetName val="[9805허가.xls][9805허가.xls]A__98_7"/>
      <sheetName val="[9805허가.xls][9805허가.xls]A__98_4"/>
      <sheetName val="[9805허가.xls][9805허가.xls]A__98_5"/>
      <sheetName val="[9805허가.xls][9805허가.xls]A__98_8"/>
      <sheetName val="Drop downs"/>
      <sheetName val=" 2015년 예산통합 시트 (2015-01차).xlsx"/>
      <sheetName val="__BANGBANG______splan_stanley_2"/>
      <sheetName val="이름정의"/>
      <sheetName val="이름정의2"/>
      <sheetName val="1사분기신규단가"/>
      <sheetName val="2사분기단가"/>
      <sheetName val="부도어음"/>
      <sheetName val="주간계획"/>
      <sheetName val="11월사업계획대실적"/>
      <sheetName val="CAUDIT"/>
      <sheetName val="Kimdh"/>
      <sheetName val="울산1"/>
      <sheetName val="울산2"/>
      <sheetName val="전주2"/>
      <sheetName val="첨부_특허list(35)"/>
      <sheetName val="지수"/>
      <sheetName val=" 수출팀 이관거래선.xlsx"/>
      <sheetName val="거래처별매출액(0306)"/>
      <sheetName val="공사비_NDE"/>
      <sheetName val="00예상실적"/>
      <sheetName val="항목"/>
      <sheetName val="대차확인"/>
      <sheetName val="CMC ellipse5t ab"/>
      <sheetName val="건축-물가변동"/>
      <sheetName val="code"/>
      <sheetName val="년근태"/>
      <sheetName val="재고자산미실현이익제거"/>
      <sheetName val="간이세액표"/>
      <sheetName val="FPA"/>
      <sheetName val="순수개발"/>
      <sheetName val="건설가계정 내역서 3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양식(1안)"/>
      <sheetName val="산출근거"/>
      <sheetName val="02기본계획"/>
      <sheetName val="경제지표"/>
      <sheetName val="01실적02계획"/>
      <sheetName val="건축실적"/>
      <sheetName val="해외공업부집계양식"/>
      <sheetName val="ckr040sa (3)"/>
      <sheetName val="ckr040sa"/>
      <sheetName val="4월누계계절지수"/>
      <sheetName val="ckr040sa (2)"/>
      <sheetName val="비주거용"/>
      <sheetName val="조선용암면"/>
      <sheetName val="건설성적"/>
      <sheetName val="건    재"/>
      <sheetName val="Front"/>
      <sheetName val="wall"/>
      <sheetName val="TOTAL"/>
      <sheetName val="부재예실"/>
      <sheetName val="월간"/>
      <sheetName val="GC산출"/>
      <sheetName val="수리결과"/>
      <sheetName val="Atomic Wt Data"/>
      <sheetName val="예산실적전체당월"/>
      <sheetName val="C11F"/>
      <sheetName val="세부(종합)"/>
      <sheetName val="機器明細(MC)"/>
      <sheetName val="95년기준조정"/>
      <sheetName val="LAB설비"/>
      <sheetName val="Sheet1"/>
      <sheetName val="건축용(020515)"/>
      <sheetName val="MOTOR"/>
      <sheetName val="시간대별 Dia."/>
      <sheetName val="노임이"/>
      <sheetName val="2-2.매출분석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근거"/>
      <sheetName val="총시장(확정)"/>
      <sheetName val="00예상실적"/>
      <sheetName val="전체"/>
      <sheetName val="수출"/>
      <sheetName val="내수"/>
      <sheetName val="95년기준조정"/>
      <sheetName val="지표"/>
      <sheetName val="Sheet4"/>
      <sheetName val="비주거용"/>
      <sheetName val="조선용암면"/>
      <sheetName val="TOTAL"/>
      <sheetName val="부재예실"/>
      <sheetName val="MC산출근거"/>
      <sheetName val="機器明細(MC)"/>
      <sheetName val="세부(종합)"/>
      <sheetName val="GC산출"/>
      <sheetName val="예산실적전체당월"/>
      <sheetName val="건설성적"/>
      <sheetName val="리피니쉬총시장(0807)"/>
      <sheetName val="Sheet1"/>
      <sheetName val="INPUT DATA"/>
      <sheetName val="매출"/>
      <sheetName val="변경"/>
      <sheetName val="기준데이터"/>
    </sheetNames>
    <sheetDataSet>
      <sheetData sheetId="0">
        <row r="6">
          <cell r="BF6">
            <v>2255.4669137188557</v>
          </cell>
        </row>
        <row r="7">
          <cell r="BF7">
            <v>2657.3932912949863</v>
          </cell>
        </row>
        <row r="8">
          <cell r="BF8">
            <v>3127.6609537065519</v>
          </cell>
        </row>
        <row r="9">
          <cell r="BF9">
            <v>3499.070780144571</v>
          </cell>
        </row>
        <row r="10">
          <cell r="BF10">
            <v>3761.7015461396495</v>
          </cell>
        </row>
        <row r="11">
          <cell r="BF11">
            <v>3857.2883164410955</v>
          </cell>
        </row>
        <row r="12">
          <cell r="BF12">
            <v>4168.7049999999999</v>
          </cell>
        </row>
        <row r="13">
          <cell r="BF13">
            <v>2805.4069999999997</v>
          </cell>
        </row>
        <row r="14">
          <cell r="BF14">
            <v>4094.3349999999996</v>
          </cell>
        </row>
        <row r="15">
          <cell r="BF15">
            <v>5229.71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근거(내수)"/>
      <sheetName val="수지"/>
      <sheetName val="95년기준조정"/>
      <sheetName val="지표"/>
      <sheetName val="조선용암면"/>
      <sheetName val="산출근거"/>
      <sheetName val="기타수당"/>
      <sheetName val="연차수당"/>
      <sheetName val="GC산출"/>
      <sheetName val="건    재"/>
      <sheetName val="2.대외공문"/>
      <sheetName val="機器明細(MC)"/>
      <sheetName val="수지(0203)"/>
      <sheetName val="부재예실"/>
      <sheetName val="국가코드-관할지사(수정)"/>
      <sheetName val="#REF"/>
      <sheetName val="기초일위"/>
      <sheetName val="시설일위"/>
      <sheetName val="조명일위"/>
      <sheetName val="통계자료"/>
      <sheetName val="세부(종합)"/>
      <sheetName val="9811"/>
      <sheetName val="Front"/>
      <sheetName val="wall"/>
      <sheetName val="1"/>
      <sheetName val="배합비(99-05-25)"/>
      <sheetName val="집계표"/>
      <sheetName val="개설수"/>
      <sheetName val="홈씨씨 기존 제상품 매출 거래선 LIST"/>
      <sheetName val="Sheet2"/>
      <sheetName val="비주거용"/>
      <sheetName val="예산실적전체당월"/>
      <sheetName val="누계 내외장재 비율"/>
      <sheetName val="국가코드"/>
      <sheetName val="세무서코드(2004.4.1이후)"/>
      <sheetName val="9907협력"/>
      <sheetName val="LAB설비"/>
      <sheetName val="03년 손익"/>
      <sheetName val="건설성적"/>
      <sheetName val="Sheet4"/>
      <sheetName val="Finished Goods "/>
      <sheetName val="Dropdown 메뉴"/>
      <sheetName val="설계가"/>
      <sheetName val="5사남"/>
      <sheetName val="기성및원가"/>
      <sheetName val="원본"/>
      <sheetName val="표지"/>
      <sheetName val="1을"/>
      <sheetName val="재정"/>
      <sheetName val="TTT"/>
      <sheetName val="생산계획"/>
      <sheetName val="3.붙이기"/>
      <sheetName val="판매추정"/>
      <sheetName val="참고.반영율"/>
      <sheetName val="생산일정"/>
      <sheetName val="년차수당"/>
      <sheetName val="PATENT"/>
      <sheetName val="원재료비 UP-DATE"/>
      <sheetName val="존4"/>
      <sheetName val="MOTOR"/>
      <sheetName val="Gia vat tu"/>
      <sheetName val="00실적"/>
      <sheetName val="해외"/>
      <sheetName val="3.PT개발계획"/>
      <sheetName val="200101"/>
      <sheetName val="설계명세서"/>
      <sheetName val="박두익"/>
      <sheetName val="Sheet1 (3)"/>
      <sheetName val="Sheet1"/>
      <sheetName val="기준데이터"/>
      <sheetName val="2008 건재예산$100기준"/>
      <sheetName val="6월보고실적현황"/>
      <sheetName val="BASE"/>
      <sheetName val="CODE"/>
      <sheetName val="견적집계표"/>
      <sheetName val="이자율"/>
      <sheetName val="단가"/>
      <sheetName val="최종가공"/>
      <sheetName val="9월누계실적"/>
      <sheetName val="TOTAL"/>
      <sheetName val="Atomic Wt Data"/>
      <sheetName val="C11F"/>
      <sheetName val="배합비(2,3.4분기)"/>
      <sheetName val="투자예산"/>
      <sheetName val="구분"/>
      <sheetName val="실행예산"/>
      <sheetName val="참조3"/>
      <sheetName val="참조3 (2)"/>
      <sheetName val="참조3 (3)"/>
      <sheetName val="과구분"/>
      <sheetName val="수리결과"/>
      <sheetName val="동해title"/>
      <sheetName val="계획08"/>
      <sheetName val="사업소득자세수추계"/>
      <sheetName val="기간부서"/>
      <sheetName val="두께별"/>
      <sheetName val="법인세신고자료"/>
      <sheetName val="노임이"/>
      <sheetName val="08이전 하자증권"/>
      <sheetName val="프랜트면허"/>
      <sheetName val="tvr320"/>
      <sheetName val="tvr360"/>
      <sheetName val="발행제기"/>
      <sheetName val="그래프1"/>
      <sheetName val="철근집계표"/>
      <sheetName val="97년 1월"/>
      <sheetName val="원료"/>
      <sheetName val="Total DFT Input"/>
      <sheetName val="Shadow"/>
      <sheetName val="Serial No."/>
      <sheetName val=" 10개년 장기 판매계획 양식.xlsx"/>
      <sheetName val="2006년년간실적"/>
      <sheetName val="DATA"/>
      <sheetName val="PDP"/>
      <sheetName val="PVC"/>
      <sheetName val="건재"/>
      <sheetName val="생략채권"/>
      <sheetName val="유리"/>
      <sheetName val="16년팀별"/>
      <sheetName val="공사비_NDE"/>
      <sheetName val="18년기본예산및17년추정실적"/>
      <sheetName val="MC산출근거"/>
      <sheetName val="11가공(유형구분)"/>
      <sheetName val="REY"/>
      <sheetName val="MACRO1.XLM"/>
      <sheetName val=" 주간업무보고 - 3월 4주차.xlsx"/>
      <sheetName val="작성근거"/>
      <sheetName val="기본"/>
      <sheetName val="CF"/>
      <sheetName val="참조셀삭제금지"/>
      <sheetName val="8월"/>
      <sheetName val="바닥판(1)"/>
      <sheetName val="KD율"/>
      <sheetName val="용역비내역-진짜"/>
      <sheetName val="판매일반"/>
      <sheetName val="아파트진행률"/>
      <sheetName val="Book Intangibles"/>
      <sheetName val="울산(코드별규격)"/>
      <sheetName val="제품원재"/>
      <sheetName val="부재예실1월"/>
      <sheetName val="Renewal Cancel Rates Sens"/>
      <sheetName val="96노임기준"/>
      <sheetName val="TELES"/>
      <sheetName val="6PILE  (돌출)"/>
      <sheetName val="CMC ellipse5t ab"/>
      <sheetName val="Sheet6"/>
      <sheetName val="2012.1월~현재(법률자문료비교)"/>
      <sheetName val="매출"/>
      <sheetName val="변경"/>
      <sheetName val="도입리스트"/>
      <sheetName val="건재양식"/>
      <sheetName val="S"/>
      <sheetName val="계정코드집"/>
      <sheetName val="미지급금"/>
      <sheetName val="중앙(MOT)"/>
      <sheetName val="현금및현금등가물"/>
      <sheetName val="heg급여table"/>
      <sheetName val="00'미수"/>
      <sheetName val="배합비(99-06-15)"/>
      <sheetName val="금융비용"/>
      <sheetName val="환율정보"/>
      <sheetName val="Macro3"/>
      <sheetName val="IDONG"/>
      <sheetName val="기본정보"/>
      <sheetName val="방정식그래프"/>
      <sheetName val="공정능력외경"/>
      <sheetName val=" 견적서"/>
      <sheetName val="현재담보"/>
      <sheetName val="EX"/>
      <sheetName val="C"/>
      <sheetName val="BS"/>
      <sheetName val="★F2.1"/>
      <sheetName val="OBS"/>
      <sheetName val="1995년 섹터별 매출"/>
      <sheetName val="Config"/>
      <sheetName val="BASE보유"/>
      <sheetName val="참조자료"/>
      <sheetName val="견적조건"/>
      <sheetName val="RW"/>
      <sheetName val="8월--12월"/>
      <sheetName val="1월--7월"/>
      <sheetName val="원가기준정보"/>
      <sheetName val="원가배부작업시간"/>
      <sheetName val="94B"/>
      <sheetName val="사기성계산 (3)"/>
      <sheetName val="LOOKUP"/>
      <sheetName val="부적합관리대장"/>
      <sheetName val="교대"/>
      <sheetName val="연차"/>
      <sheetName val="견"/>
      <sheetName val="db"/>
      <sheetName val="원_VL"/>
      <sheetName val="기초자료"/>
      <sheetName val="용도별 시장 (2)"/>
      <sheetName val="CW"/>
      <sheetName val="RMB (2)"/>
      <sheetName val="LW"/>
      <sheetName val="2012년"/>
      <sheetName val="보전목록"/>
      <sheetName val="부착품"/>
      <sheetName val="NewAlloc"/>
      <sheetName val="지주토목내역서"/>
      <sheetName val="EQT-ESTN"/>
    </sheetNames>
    <sheetDataSet>
      <sheetData sheetId="0"/>
      <sheetData sheetId="1"/>
      <sheetData sheetId="2" refreshError="1">
        <row r="5">
          <cell r="J5">
            <v>49361.3</v>
          </cell>
          <cell r="K5">
            <v>18530</v>
          </cell>
          <cell r="L5">
            <v>100726.7</v>
          </cell>
        </row>
        <row r="6">
          <cell r="J6">
            <v>58402.8</v>
          </cell>
          <cell r="K6">
            <v>22119.7</v>
          </cell>
          <cell r="L6">
            <v>108219.2</v>
          </cell>
        </row>
        <row r="7">
          <cell r="J7">
            <v>65447.8</v>
          </cell>
          <cell r="K7">
            <v>24911.1</v>
          </cell>
          <cell r="L7">
            <v>117244.8</v>
          </cell>
        </row>
        <row r="8">
          <cell r="J8">
            <v>67745.399999999994</v>
          </cell>
          <cell r="K8">
            <v>28466.9</v>
          </cell>
          <cell r="L8">
            <v>129143.2</v>
          </cell>
        </row>
        <row r="9">
          <cell r="J9">
            <v>73982.5</v>
          </cell>
          <cell r="K9">
            <v>33493.4</v>
          </cell>
          <cell r="L9">
            <v>141618.29999999999</v>
          </cell>
        </row>
        <row r="10">
          <cell r="J10">
            <v>81033</v>
          </cell>
          <cell r="K10">
            <v>38451.599999999999</v>
          </cell>
          <cell r="L10">
            <v>153011.9</v>
          </cell>
        </row>
        <row r="11">
          <cell r="J11">
            <v>85315.9</v>
          </cell>
          <cell r="K11">
            <v>38331.800000000003</v>
          </cell>
          <cell r="L11">
            <v>161319.5</v>
          </cell>
        </row>
        <row r="12">
          <cell r="J12">
            <v>89900.5</v>
          </cell>
          <cell r="K12">
            <v>38439.9</v>
          </cell>
          <cell r="L12">
            <v>170559.2</v>
          </cell>
        </row>
        <row r="13">
          <cell r="J13">
            <v>99611.5</v>
          </cell>
          <cell r="K13">
            <v>47612</v>
          </cell>
          <cell r="L13">
            <v>184637.8</v>
          </cell>
        </row>
        <row r="14">
          <cell r="J14">
            <v>110826.9</v>
          </cell>
          <cell r="K14">
            <v>56241</v>
          </cell>
          <cell r="L14">
            <v>202573.5</v>
          </cell>
        </row>
        <row r="15">
          <cell r="J15">
            <v>118342.7</v>
          </cell>
          <cell r="K15">
            <v>61332.6</v>
          </cell>
          <cell r="L15">
            <v>216949.6</v>
          </cell>
        </row>
        <row r="16">
          <cell r="J16">
            <v>126117.2</v>
          </cell>
          <cell r="K16">
            <v>56009.8</v>
          </cell>
          <cell r="L16">
            <v>224536.5</v>
          </cell>
        </row>
        <row r="17">
          <cell r="J17">
            <v>117013.7</v>
          </cell>
          <cell r="K17">
            <v>34469.300000000003</v>
          </cell>
          <cell r="L17">
            <v>202553.3</v>
          </cell>
        </row>
        <row r="18">
          <cell r="J18">
            <v>130749.01860946578</v>
          </cell>
          <cell r="K18">
            <v>47291.8796</v>
          </cell>
          <cell r="L18">
            <v>221795.86349999998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조선건조"/>
      <sheetName val="설비투자"/>
      <sheetName val="건축허가"/>
      <sheetName val="부서장양식"/>
      <sheetName val="표지"/>
      <sheetName val="주전무양식"/>
      <sheetName val="주전무양식 (2)"/>
      <sheetName val="MW"/>
      <sheetName val="제품별"/>
      <sheetName val="용도별 구분"/>
      <sheetName val="LW"/>
      <sheetName val="LW 용도별"/>
      <sheetName val="lw산출근거"/>
      <sheetName val="CW"/>
      <sheetName val="CW산출근거"/>
      <sheetName val="MMB"/>
      <sheetName val="MMB증감요인"/>
      <sheetName val="조선용MMB"/>
      <sheetName val="MC"/>
      <sheetName val="MC증감요인"/>
      <sheetName val="MC산출근거"/>
      <sheetName val="조선용MC"/>
      <sheetName val="RT산출"/>
      <sheetName val="RT"/>
      <sheetName val="RT수량환산"/>
      <sheetName val="RT 총시장"/>
      <sheetName val="부서장양식 (2)"/>
      <sheetName val="GT"/>
      <sheetName val="GT수량환산1"/>
      <sheetName val="GT근거1"/>
      <sheetName val="Sheet1"/>
      <sheetName val="GT수량환산"/>
      <sheetName val="H형강"/>
      <sheetName val="lw산출근거(2)"/>
      <sheetName val="산출근거"/>
      <sheetName val="95년기준조정"/>
      <sheetName val="00실적"/>
      <sheetName val="機器明細(MC)"/>
      <sheetName val="부재예실"/>
      <sheetName val="2.대외공문"/>
      <sheetName val="비주거용"/>
      <sheetName val="1"/>
      <sheetName val="예산실적전체당월"/>
      <sheetName val="수리결과"/>
      <sheetName val="코드표"/>
      <sheetName val="세부(종합)"/>
      <sheetName val="건재0001"/>
      <sheetName val="단가대비표"/>
      <sheetName val="MW 10개년 전망(짚코트01기준)"/>
      <sheetName val="DATA"/>
      <sheetName val="기초일위"/>
      <sheetName val="시설일위"/>
      <sheetName val="조명일위"/>
      <sheetName val="집계표"/>
      <sheetName val="12월실적"/>
      <sheetName val="실행예산"/>
      <sheetName val="조선용암면"/>
      <sheetName val="총내역서"/>
      <sheetName val="원료"/>
      <sheetName val="2008 건재예산$100기준"/>
      <sheetName val="기준데이터"/>
      <sheetName val="SV SPEC."/>
      <sheetName val="작업추진 계획(일정)"/>
      <sheetName val="FBN3 총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주거용"/>
      <sheetName val="BASE"/>
      <sheetName val="9805허가"/>
      <sheetName val="MC산출근거"/>
      <sheetName val="95MAKER"/>
      <sheetName val="Atomic Wt Data"/>
      <sheetName val="00실적"/>
      <sheetName val="수리결과"/>
      <sheetName val="3사인원"/>
      <sheetName val="부대시설"/>
      <sheetName val="Apt내역"/>
      <sheetName val="빙100장비사양"/>
      <sheetName val="미지급금"/>
      <sheetName val="건축도급단가"/>
      <sheetName val="조선용암면"/>
      <sheetName val="실행단가"/>
      <sheetName val="1"/>
      <sheetName val="금액"/>
      <sheetName val="운영계획"/>
      <sheetName val="예산실적전체당월"/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산출근거"/>
      <sheetName val="승용"/>
      <sheetName val="원본"/>
      <sheetName val="GC산출"/>
      <sheetName val="5사남"/>
      <sheetName val="골프모래"/>
      <sheetName val="제품원재"/>
      <sheetName val="제안서"/>
      <sheetName val="행정표준(1)"/>
      <sheetName val="행정표준(2)"/>
      <sheetName val="단가"/>
      <sheetName val="#REF"/>
      <sheetName val="000000"/>
      <sheetName val="LEGEND"/>
      <sheetName val="년차수당"/>
      <sheetName val="1을"/>
      <sheetName val="VA_code"/>
      <sheetName val="건재양식"/>
      <sheetName val="건재"/>
      <sheetName val="생략채권"/>
      <sheetName val="유리"/>
      <sheetName val="PVC"/>
      <sheetName val="일년TOTAL"/>
      <sheetName val="코드표(세무증빙표)"/>
      <sheetName val="건설성적"/>
      <sheetName val="월간"/>
      <sheetName val="부재예실"/>
      <sheetName val=" 17. 유기소재.xlsx"/>
      <sheetName val="배합비(99-05-25)"/>
      <sheetName val="95년기준조정"/>
      <sheetName val="부재예실1월"/>
      <sheetName val="피벗 (2)"/>
      <sheetName val="신규DEP"/>
      <sheetName val="5.세운W-A"/>
      <sheetName val="RD제품개발투자비(매가)"/>
      <sheetName val="5쪽"/>
      <sheetName val="판촉계획(고정)"/>
      <sheetName val="투찰추정"/>
      <sheetName val="입찰안"/>
      <sheetName val="이자율"/>
      <sheetName val="전체LIST"/>
      <sheetName val="반품상세"/>
      <sheetName val="guard(mac)"/>
      <sheetName val="VXXXXXXX"/>
      <sheetName val="tggwan(mac)"/>
      <sheetName val="건    재"/>
      <sheetName val="차량별점검"/>
      <sheetName val="engline"/>
      <sheetName val="출장거리"/>
      <sheetName val="손료기준-공사부구두문의"/>
      <sheetName val="97년 추정"/>
      <sheetName val="04월계획"/>
      <sheetName val="12월실적"/>
      <sheetName val="단가대비표"/>
      <sheetName val="투자예산"/>
      <sheetName val="초과사유"/>
      <sheetName val="CMC ellipse"/>
      <sheetName val="Sheet4"/>
      <sheetName val="선급법인세"/>
      <sheetName val="tabl"/>
      <sheetName val="Sheet1"/>
      <sheetName val="LAB설비"/>
      <sheetName val="통계자료"/>
      <sheetName val="표지"/>
      <sheetName val="자체실적1Q"/>
      <sheetName val="당월실적"/>
      <sheetName val="구분자룩업"/>
      <sheetName val="1분기용기보증금산정"/>
      <sheetName val="DATA"/>
      <sheetName val="항목(1)"/>
      <sheetName val="04월실적"/>
      <sheetName val="협조전"/>
      <sheetName val="코드표"/>
      <sheetName val="11가공(유형구분)"/>
      <sheetName val="Sheet2 (2)"/>
      <sheetName val="Listvalues"/>
      <sheetName val="개설수"/>
      <sheetName val="OD5000"/>
      <sheetName val="report_20"/>
      <sheetName val="camera_30"/>
      <sheetName val="KPI(전산)"/>
      <sheetName val="전년실적"/>
      <sheetName val="4"/>
      <sheetName val="기초생년월일"/>
      <sheetName val="배합비(2,3.4분기)"/>
      <sheetName val="계획08"/>
      <sheetName val="KSHAHU-6"/>
      <sheetName val="결론"/>
      <sheetName val="판매 계획"/>
      <sheetName val="2-8"/>
      <sheetName val="10"/>
      <sheetName val="90"/>
      <sheetName val="40"/>
      <sheetName val="50"/>
      <sheetName val="60"/>
      <sheetName val="70"/>
      <sheetName val="camera_10"/>
      <sheetName val="1월"/>
      <sheetName val="機器明細(MC)"/>
      <sheetName val="기타수당"/>
      <sheetName val="연차수당"/>
      <sheetName val="03년 손익"/>
      <sheetName val="기본"/>
      <sheetName val="매트"/>
      <sheetName val="사이즈"/>
      <sheetName val="용융"/>
      <sheetName val="티슈"/>
      <sheetName val="로봇소프트플랫폼_기술분류"/>
      <sheetName val="운영자금차입금"/>
      <sheetName val="미확인"/>
      <sheetName val="현재담보"/>
      <sheetName val="실적(2안)"/>
      <sheetName val="대전-교대(A1-A2)"/>
      <sheetName val="보증금(전신전화가입권)"/>
      <sheetName val="미착기계"/>
      <sheetName val="예산M11A"/>
      <sheetName val="S"/>
      <sheetName val="3.붙이기"/>
      <sheetName val="판매추정"/>
      <sheetName val="건재0001"/>
      <sheetName val="토지면적"/>
      <sheetName val="1인당GDP"/>
      <sheetName val="시도별추계인구"/>
      <sheetName val="손익11"/>
      <sheetName val="미착재고현황전주"/>
      <sheetName val="구분자"/>
      <sheetName val="주간예상실적(공업)"/>
      <sheetName val="Finished Goods "/>
      <sheetName val="누계 내외장재 비율"/>
      <sheetName val="차수"/>
      <sheetName val="Sheet2"/>
      <sheetName val="일위대가목록"/>
      <sheetName val="2012년경영자면담자료.xlsx"/>
      <sheetName val="정보매체A동"/>
      <sheetName val="일위대가"/>
      <sheetName val="울산(코드별규격)"/>
      <sheetName val="보증금(판)"/>
      <sheetName val="판1부"/>
      <sheetName val="월별수입"/>
      <sheetName val="원재료비 UP-DATE"/>
      <sheetName val="과제"/>
      <sheetName val="2.대외공문"/>
      <sheetName val="박두익"/>
      <sheetName val="PDP"/>
      <sheetName val="수율추이"/>
      <sheetName val="세부(종합)"/>
      <sheetName val="조명일위"/>
      <sheetName val="생산판매재고"/>
      <sheetName val="9월누계(산지계)"/>
      <sheetName val=" 10개년 장기 판매계획 양식(산업용_플랜트).xlsx"/>
      <sheetName val="도입리스트"/>
      <sheetName val="주별납기"/>
      <sheetName val="2"/>
      <sheetName val="9907협력"/>
      <sheetName val="지부전체"/>
      <sheetName val="준검 내역서"/>
      <sheetName val="포장"/>
      <sheetName val="2003년 합계"/>
      <sheetName val="실행내역서(DCU)"/>
      <sheetName val="가설재손료"/>
      <sheetName val="인원계획"/>
      <sheetName val="참고.반영율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wall"/>
      <sheetName val="Front"/>
      <sheetName val="4월정산"/>
      <sheetName val="3월정산"/>
      <sheetName val="7월정산(8월)전체"/>
      <sheetName val="8월씨마크"/>
      <sheetName val="10월정산(9월사용-1)"/>
      <sheetName val="최종가공"/>
      <sheetName val="금강투자2000"/>
      <sheetName val="2013년누계불량채권"/>
      <sheetName val="2013년누계"/>
      <sheetName val="R&amp;D"/>
      <sheetName val="해외"/>
      <sheetName val="10월계획"/>
      <sheetName val="직노"/>
      <sheetName val="h-013211-2"/>
      <sheetName val="코드"/>
      <sheetName val="견적집계표"/>
      <sheetName val="거래선유형"/>
      <sheetName val="PATENT"/>
      <sheetName val="1과"/>
      <sheetName val="재정"/>
      <sheetName val="TTT"/>
      <sheetName val="지급자재"/>
      <sheetName val="변경내역대비표(2)"/>
      <sheetName val="총괄표"/>
      <sheetName val="판매일반"/>
      <sheetName val="KCB단가코드"/>
      <sheetName val="과단위"/>
      <sheetName val="연료비입력"/>
      <sheetName val=" 갑지"/>
      <sheetName val="특판단가표"/>
      <sheetName val="재고"/>
      <sheetName val="3.현황(창호_라미)"/>
      <sheetName val="3.현황(내외장재_상재)"/>
      <sheetName val="두께별"/>
      <sheetName val=" Global Top (2012-03-06).xlsx"/>
      <sheetName val="출금실적"/>
      <sheetName val="재무현황"/>
      <sheetName val="TOTAL"/>
      <sheetName val="MOTOR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부서"/>
      <sheetName val="인상효1"/>
      <sheetName val="창호이맥스"/>
      <sheetName val="담보"/>
      <sheetName val="유리이맥스"/>
      <sheetName val="배합변경_1"/>
      <sheetName val="품질경영"/>
      <sheetName val="참고"/>
      <sheetName val="관할"/>
      <sheetName val="12"/>
      <sheetName val="품의서"/>
      <sheetName val="3.제품군별 실적(보고용)"/>
      <sheetName val="그래프"/>
      <sheetName val="고정자산"/>
      <sheetName val="매출원가추정"/>
      <sheetName val="매출추정"/>
      <sheetName val="신제품1"/>
      <sheetName val="추가예산"/>
      <sheetName val="자동차표"/>
      <sheetName val="총원"/>
      <sheetName val="지역별수출"/>
      <sheetName val="참조1"/>
      <sheetName val="10월예약현황(씨마크)"/>
      <sheetName val="200005"/>
      <sheetName val="감축 아이템"/>
      <sheetName val="집계표"/>
      <sheetName val="학력조회"/>
      <sheetName val="차액보증"/>
      <sheetName val="골조시행"/>
      <sheetName val="집계표(육상)"/>
      <sheetName val="9906"/>
      <sheetName val="방정식그래프"/>
      <sheetName val="SurveyTotals"/>
      <sheetName val="삼성(당산)월하반기"/>
      <sheetName val="연돌일위집계"/>
      <sheetName val="수선계획표"/>
      <sheetName val="매출"/>
      <sheetName val="이맥스"/>
      <sheetName val="성형자료"/>
      <sheetName val="신제품3"/>
      <sheetName val="참조"/>
      <sheetName val="철콘(승대건설)"/>
      <sheetName val="BASE보유"/>
      <sheetName val="참조자료"/>
      <sheetName val="사업소득자세수추계"/>
      <sheetName val="★원자재작업용"/>
      <sheetName val="필름(100826)"/>
      <sheetName val="보강재작업용"/>
      <sheetName val="★가격표(2011.03)"/>
      <sheetName val="제품구분"/>
      <sheetName val="한강운반비"/>
      <sheetName val="200101"/>
      <sheetName val="자료"/>
      <sheetName val="1차설계변경내역"/>
      <sheetName val="B"/>
      <sheetName val="상용"/>
      <sheetName val="기초자료"/>
      <sheetName val="C11F"/>
      <sheetName val="tt-RESIN"/>
      <sheetName val="GRACE"/>
      <sheetName val="출고 자료합계(원본)"/>
      <sheetName val="변경증감내역서"/>
      <sheetName val="1인당매출"/>
      <sheetName val="동해title"/>
      <sheetName val="2월판매"/>
      <sheetName val="석고보드"/>
      <sheetName val="능율"/>
      <sheetName val="석고보드(3호기)"/>
      <sheetName val="관리전폭"/>
      <sheetName val="전체"/>
      <sheetName val="Sheet3"/>
      <sheetName val="지질조사"/>
      <sheetName val="3.수익성향상"/>
      <sheetName val="실행예산"/>
      <sheetName val="2공구산출내역"/>
      <sheetName val="기술자문 현재진행인력(기존+신규)"/>
      <sheetName val="CAT_5"/>
      <sheetName val="배합비(99-06-15)"/>
      <sheetName val="홈씨씨 기존 제상품 매출 거래선 LIST"/>
      <sheetName val="2-2.매출분석"/>
      <sheetName val="기준데이터"/>
      <sheetName val="생산일정"/>
      <sheetName val="일위대가표"/>
      <sheetName val="단위원가"/>
      <sheetName val="2000년 신제품 내역"/>
      <sheetName val="인벤토리총괄표"/>
      <sheetName val="SV SPEC."/>
      <sheetName val="작업추진 계획(일정)"/>
      <sheetName val="FY2006 KCC UP"/>
      <sheetName val="제품(수출)매출"/>
      <sheetName val="상품매출"/>
      <sheetName val="재고 "/>
      <sheetName val="계획담당자참고"/>
      <sheetName val="01월실적값복사"/>
      <sheetName val="01월예산값복사"/>
      <sheetName val="RW"/>
      <sheetName val="이토변실"/>
      <sheetName val="주문량"/>
      <sheetName val="이송중"/>
      <sheetName val="원단위 산출"/>
      <sheetName val="고정비 내역"/>
      <sheetName val="변동비 내역"/>
      <sheetName val="Tbom-tot"/>
      <sheetName val="작성기준"/>
      <sheetName val="95D"/>
      <sheetName val="94D"/>
      <sheetName val="예산입력(전)"/>
      <sheetName val="현황보고"/>
      <sheetName val="운반"/>
      <sheetName val="Code(전체)"/>
      <sheetName val="★15년 기능직 인센티브 지급안(15.10.13)-최종("/>
      <sheetName val=" ◎2016년 기본예산 공장 - 투자 집계-2016022"/>
      <sheetName val=" 2.건설사별 품목별 연도별 실적(9월3주차)_건설상품("/>
      <sheetName val=" 장외영향평가 진행 사항.xlsx"/>
      <sheetName val="세부추진"/>
      <sheetName val="상용_mp"/>
      <sheetName val=" 10개년 장기 판매계획 양식.xlsx"/>
      <sheetName val=" 장기재고 현황 (6월).xlsx"/>
      <sheetName val="실행철강하도"/>
      <sheetName val="동재"/>
      <sheetName val="변경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Sheet1 (2)"/>
      <sheetName val="3월"/>
      <sheetName val="1분기보증금산정"/>
      <sheetName val="기능인사자료"/>
      <sheetName val="전부서공통"/>
      <sheetName val="공문"/>
      <sheetName val="설계조건"/>
      <sheetName val="경비비교표(예실)"/>
      <sheetName val="조회서"/>
      <sheetName val=""/>
      <sheetName val="FBN3 총괄"/>
      <sheetName val="원가배부작업시간"/>
      <sheetName val="원가계산서"/>
      <sheetName val="일위대가목차"/>
      <sheetName val="3-31"/>
      <sheetName val="자본금"/>
      <sheetName val="시산표"/>
      <sheetName val="보전목록"/>
      <sheetName val="단종품목"/>
      <sheetName val="Shortage list(KCK)"/>
      <sheetName val="목록"/>
      <sheetName val="사업장"/>
      <sheetName val="매출수정"/>
      <sheetName val="권역"/>
      <sheetName val="10.31"/>
      <sheetName val="매입수불자재"/>
      <sheetName val="IDONG"/>
      <sheetName val=" 2021년 판매비 기본예산.xlsx"/>
      <sheetName val="내역정리"/>
      <sheetName val=" 견적서"/>
      <sheetName val="상품보조수불"/>
      <sheetName val="제조원가계산서 (2)"/>
      <sheetName val="제품입고(생산)"/>
      <sheetName val="1995년 섹터별 매출"/>
      <sheetName val="유림골조"/>
      <sheetName val="배서어음명세서"/>
      <sheetName val="TIBURON"/>
      <sheetName val="구동"/>
      <sheetName val="작성근거"/>
      <sheetName val="단가표(사무용품)"/>
      <sheetName val="단가표(전산용품)"/>
      <sheetName val="설계판촉2과"/>
      <sheetName val="TOTAL_BOQ"/>
      <sheetName val="3.PT개발계획"/>
      <sheetName val="견적서"/>
      <sheetName val="LU"/>
      <sheetName val="토공사(흙막이)"/>
      <sheetName val="Library Procedures"/>
      <sheetName val="ML"/>
      <sheetName val="시설물기초"/>
      <sheetName val="조절판"/>
    </sheetNames>
    <sheetDataSet>
      <sheetData sheetId="0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D4">
            <v>17609</v>
          </cell>
        </row>
      </sheetData>
      <sheetData sheetId="21">
        <row r="4">
          <cell r="D4">
            <v>17609</v>
          </cell>
        </row>
      </sheetData>
      <sheetData sheetId="22">
        <row r="4">
          <cell r="D4">
            <v>17609</v>
          </cell>
        </row>
      </sheetData>
      <sheetData sheetId="23">
        <row r="4">
          <cell r="D4">
            <v>17609</v>
          </cell>
        </row>
      </sheetData>
      <sheetData sheetId="24">
        <row r="4">
          <cell r="D4">
            <v>17609</v>
          </cell>
        </row>
      </sheetData>
      <sheetData sheetId="25">
        <row r="4">
          <cell r="D4">
            <v>17609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비주거용"/>
      <sheetName val="판매일반"/>
      <sheetName val="Sheet3"/>
      <sheetName val="Sheet2"/>
      <sheetName val="부재예실1월"/>
      <sheetName val="코드표"/>
      <sheetName val="미지급금"/>
      <sheetName val="MC산출근거"/>
      <sheetName val="MH_생산"/>
      <sheetName val="매트"/>
      <sheetName val="사이즈"/>
      <sheetName val="용융"/>
      <sheetName val="티슈"/>
      <sheetName val="예산실적전체당월"/>
      <sheetName val="GC산출"/>
      <sheetName val="H4A11"/>
      <sheetName val="97년 추정"/>
      <sheetName val="부재예실"/>
      <sheetName val="제품원재"/>
      <sheetName val="BASE"/>
      <sheetName val="건설성적"/>
      <sheetName val="배합비(99-05-25)"/>
      <sheetName val="산출근거"/>
      <sheetName val="소개"/>
      <sheetName val="3사인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조선건조"/>
      <sheetName val="설비투자"/>
      <sheetName val="건축허가"/>
      <sheetName val="부서장양식"/>
      <sheetName val="표지"/>
      <sheetName val="주전무양식"/>
      <sheetName val="주전무양식 (2)"/>
      <sheetName val="MW"/>
      <sheetName val="제품별"/>
      <sheetName val="용도별 구분"/>
      <sheetName val="LW"/>
      <sheetName val="LW 용도별"/>
      <sheetName val="lw산출근거"/>
      <sheetName val="CW"/>
      <sheetName val="CW산출근거"/>
      <sheetName val="MMB"/>
      <sheetName val="MMB증감요인"/>
      <sheetName val="조선용MMB"/>
      <sheetName val="MC"/>
      <sheetName val="MC증감요인"/>
      <sheetName val="MC산출근거"/>
      <sheetName val="조선용MC"/>
      <sheetName val="RT"/>
      <sheetName val="RT산출"/>
      <sheetName val="RT수량환산"/>
      <sheetName val="RT 총시장"/>
      <sheetName val="부서장양식 (2)"/>
      <sheetName val="GT"/>
      <sheetName val="GT수량환산1"/>
      <sheetName val="GT근거2"/>
      <sheetName val="GT근거1"/>
      <sheetName val="Sheet1"/>
      <sheetName val="GT수량환산"/>
      <sheetName val="H형강"/>
      <sheetName val="lw산출근거(2)"/>
      <sheetName val="산출근거"/>
      <sheetName val="비주거용"/>
      <sheetName val="출장거리"/>
      <sheetName val="조선용암면"/>
      <sheetName val="건재양식"/>
      <sheetName val="NC1643EA"/>
      <sheetName val="부재예실1월"/>
      <sheetName val="금강투자2000"/>
      <sheetName val="월별수입"/>
      <sheetName val="건설성적"/>
      <sheetName val="집계"/>
      <sheetName val="원본1"/>
      <sheetName val="수리결과"/>
      <sheetName val="손료기준-공사부구두문의"/>
      <sheetName val="주별납기"/>
      <sheetName val="승용"/>
      <sheetName val="1을"/>
      <sheetName val="5쪽"/>
      <sheetName val="3월"/>
      <sheetName val="kcr770s1"/>
      <sheetName val="거래선별 유형"/>
      <sheetName val="배합비(99-05-25)"/>
      <sheetName val="부서"/>
      <sheetName val="배합비(2,3.4분기)"/>
      <sheetName val="예산실적전체당월"/>
      <sheetName val="생산판매재고"/>
      <sheetName val="실적"/>
      <sheetName val="가설재손료"/>
      <sheetName val="인원계획"/>
      <sheetName val="GC산출"/>
      <sheetName val="년차수당"/>
      <sheetName val="95년기준조정"/>
      <sheetName val="고려성적"/>
      <sheetName val="참고.반영율"/>
      <sheetName val="매트"/>
      <sheetName val="사이즈"/>
      <sheetName val="용융"/>
      <sheetName val="티슈"/>
      <sheetName val="성형생산량"/>
      <sheetName val="PATENT"/>
      <sheetName val="업무연락"/>
      <sheetName val="벽체면적당일위대가"/>
      <sheetName val="코드"/>
      <sheetName val="코드표"/>
      <sheetName val="세부(종합)"/>
      <sheetName val="사업개요"/>
      <sheetName val="입력란"/>
      <sheetName val="DB"/>
      <sheetName val="PVC"/>
      <sheetName val="건재"/>
      <sheetName val="생략채권"/>
      <sheetName val="유리"/>
      <sheetName val="MH_생산"/>
      <sheetName val="원단위 산출"/>
      <sheetName val="고정비 내역"/>
      <sheetName val="변동비 내역"/>
      <sheetName val="수입비용1021"/>
      <sheetName val="현장코드"/>
      <sheetName val="건재0001"/>
      <sheetName val="00실적"/>
      <sheetName val="부재예실"/>
      <sheetName val="주간예상실적(공업)"/>
      <sheetName val="BASE"/>
      <sheetName val="3사인원"/>
      <sheetName val="2004생산량"/>
      <sheetName val="원재료단가"/>
      <sheetName val="16년팀별"/>
      <sheetName val="로봇소프트플랫폼_기술분류"/>
      <sheetName val="판매일반"/>
      <sheetName val="Sheet3"/>
      <sheetName val="Sheet2"/>
      <sheetName val="#REF"/>
      <sheetName val="일년TOTAL"/>
      <sheetName val="신제품1"/>
      <sheetName val="신제품3"/>
      <sheetName val="KAIS-당월(자체)"/>
      <sheetName val="단가"/>
      <sheetName val="12월실적"/>
      <sheetName val="현재담보"/>
      <sheetName val="학교명단"/>
      <sheetName val="2002-12"/>
      <sheetName val="2003-01"/>
      <sheetName val="운영자금차입금"/>
      <sheetName val="지급자재"/>
      <sheetName val="DAT(목표)"/>
      <sheetName val="투자예산"/>
      <sheetName val="공장평가(12-1분기)(양식변경안).xlsx"/>
      <sheetName val="전부서공통"/>
      <sheetName val="기준데이터"/>
      <sheetName val="상용"/>
      <sheetName val="isbg"/>
      <sheetName val="소개"/>
      <sheetName val="2-2.매출분석"/>
      <sheetName val="일위대가"/>
      <sheetName val="추진실적그래프"/>
      <sheetName val="속성"/>
      <sheetName val="성형자료"/>
      <sheetName val="1995년 섹터별 매출"/>
      <sheetName val="기초생년월일"/>
      <sheetName val="GEUB "/>
      <sheetName val="판매계획"/>
      <sheetName val="Sheet4"/>
      <sheetName val="수량산출"/>
      <sheetName val="수량집계"/>
      <sheetName val="tsuga"/>
      <sheetName val="RT난출2 (3)"/>
      <sheetName val="메인생산량"/>
      <sheetName val="상품보조수불"/>
      <sheetName val="모델"/>
      <sheetName val="품의플로"/>
      <sheetName val="bs"/>
      <sheetName val="중앙(MOT)"/>
      <sheetName val="18년기본예산및17년추정실적"/>
      <sheetName val="결재란"/>
      <sheetName val="채무-pbc"/>
      <sheetName val="울산상비리스트"/>
      <sheetName val="차량별점검"/>
      <sheetName val="6월"/>
      <sheetName val="권역,사업부"/>
      <sheetName val="매출"/>
      <sheetName val="통합pool출력"/>
      <sheetName val="2.상각보정명세"/>
      <sheetName val="제품분류코드"/>
      <sheetName val="추이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C산출"/>
      <sheetName val="GW"/>
      <sheetName val="GC"/>
      <sheetName val="GMB"/>
      <sheetName val="용도별"/>
      <sheetName val="Sheet3"/>
      <sheetName val="유리면수정"/>
      <sheetName val="건설성적"/>
      <sheetName val="MC산출근거"/>
      <sheetName val="실행철강하도"/>
      <sheetName val="투자예산"/>
      <sheetName val="본문"/>
      <sheetName val="세부(종합)"/>
      <sheetName val="유리면(990309)"/>
      <sheetName val="예산입력(전)"/>
      <sheetName val="지급자재"/>
      <sheetName val="예산실적전체당월"/>
      <sheetName val="여과지동"/>
      <sheetName val="기초자료"/>
      <sheetName val="차수"/>
      <sheetName val="추가예산"/>
      <sheetName val="대외공문"/>
      <sheetName val="제품원재"/>
      <sheetName val="변경증감내역서"/>
      <sheetName val="실행예산"/>
      <sheetName val="1"/>
      <sheetName val="원하대비"/>
      <sheetName val="원도급"/>
      <sheetName val="하도급"/>
      <sheetName val="건재양식"/>
      <sheetName val="본예산"/>
      <sheetName val="부재예실"/>
      <sheetName val="CAUDIT"/>
      <sheetName val="참고자료(PM중점과제)"/>
      <sheetName val="배합비(99-05-25)"/>
      <sheetName val="비주거용"/>
      <sheetName val="산출근거"/>
      <sheetName val="조선용암면"/>
      <sheetName val="9907협력"/>
      <sheetName val="코드"/>
      <sheetName val="재정"/>
      <sheetName val="TTT"/>
      <sheetName val="이자율"/>
      <sheetName val="TOTAL"/>
      <sheetName val="두께별"/>
      <sheetName val="1을"/>
      <sheetName val="투자양식"/>
      <sheetName val="총괄표"/>
      <sheetName val="기타수당"/>
      <sheetName val="연차수당"/>
      <sheetName val="機器明細(MC)"/>
      <sheetName val="통계자료"/>
      <sheetName val="수입"/>
      <sheetName val="PVC"/>
      <sheetName val="CODE"/>
      <sheetName val="OD5000"/>
      <sheetName val="db"/>
      <sheetName val="2.대외공문"/>
      <sheetName val="인건비(010330)"/>
      <sheetName val="규격"/>
      <sheetName val="MOTOR"/>
      <sheetName val="준검 내역서"/>
      <sheetName val=" 갑지"/>
      <sheetName val="97년 추정"/>
      <sheetName val="설계조건"/>
      <sheetName val="당월실적"/>
      <sheetName val="1분기보증금산정"/>
      <sheetName val="물량10월"/>
      <sheetName val="수지공장 ITEM별 작업시간"/>
      <sheetName val="tvr320"/>
      <sheetName val="typecode"/>
      <sheetName val="E-BDATA"/>
      <sheetName val="기초일위"/>
      <sheetName val="시설일위"/>
      <sheetName val="조명일위"/>
      <sheetName val="총내역서"/>
      <sheetName val="Sheet1"/>
      <sheetName val="LSH CODE"/>
      <sheetName val="누계 내외장재 비율"/>
      <sheetName val="불만처리현황"/>
      <sheetName val="부착품"/>
      <sheetName val="부재예실1월"/>
      <sheetName val="Sheet6"/>
      <sheetName val="Sheet5"/>
      <sheetName val="성형자료"/>
      <sheetName val="용해1"/>
      <sheetName val="용해2"/>
      <sheetName val="용해3"/>
      <sheetName val="용해5"/>
      <sheetName val="금강투자2000"/>
      <sheetName val="관리재고4월(~08년1월)"/>
      <sheetName val="실행내역서(DCU)"/>
      <sheetName val="재고"/>
      <sheetName val="6월"/>
      <sheetName val="Sheet2"/>
      <sheetName val="일년TOTAL"/>
      <sheetName val="9월누계(산지계)"/>
      <sheetName val="고려성적"/>
      <sheetName val="수리결과"/>
      <sheetName val="조정유형06"/>
      <sheetName val="권역코드(0603)"/>
      <sheetName val="SUMMARY(S)"/>
      <sheetName val="00실적"/>
      <sheetName val="12년실적"/>
      <sheetName val="만년달력"/>
      <sheetName val="출장거리"/>
      <sheetName val="참고.반영율"/>
      <sheetName val="도입리스트"/>
      <sheetName val="매트"/>
      <sheetName val="사이즈"/>
      <sheetName val="용융"/>
      <sheetName val="티슈"/>
      <sheetName val="진행율"/>
      <sheetName val="DAT(목표)"/>
      <sheetName val="3.수익성향상"/>
      <sheetName val="업무연락"/>
      <sheetName val="북부"/>
      <sheetName val="신제품1"/>
      <sheetName val="신제품2"/>
      <sheetName val="신제품3"/>
      <sheetName val="예산(09년_WHITE)"/>
      <sheetName val="대비2"/>
      <sheetName val="XL4Poppy"/>
      <sheetName val="손료기준-공사부구두문의"/>
      <sheetName val="2월판매"/>
      <sheetName val="참고"/>
      <sheetName val="월,누계 (2)"/>
      <sheetName val="작업"/>
      <sheetName val="부서"/>
      <sheetName val="콘크리트타설집계표"/>
      <sheetName val="2008 건재예산$100기준"/>
      <sheetName val="DATA-페놀수지"/>
      <sheetName val="일위대가"/>
      <sheetName val="배합비(2,3.4분기)"/>
      <sheetName val="MAKER 별(3)"/>
      <sheetName val="BASE"/>
      <sheetName val="가설재손료"/>
      <sheetName val="인원계획"/>
      <sheetName val="수주계획 (3)"/>
      <sheetName val="주간예상실적(공업)"/>
      <sheetName val="3월"/>
      <sheetName val="생산판매재고"/>
      <sheetName val="5쪽"/>
      <sheetName val="코드표"/>
      <sheetName val="피벗(월별아이템설계구분)"/>
      <sheetName val="개인별 아이템목표"/>
      <sheetName val="일위대가표"/>
      <sheetName val="기능인사자료"/>
      <sheetName val="연료별 환산계수"/>
      <sheetName val="★14 기본투자예산_ver3(신설수지 추가).xlsx"/>
      <sheetName val="연락처"/>
      <sheetName val="Sheet4"/>
      <sheetName val="지부전체"/>
      <sheetName val=" 견적서"/>
      <sheetName val="물량표"/>
      <sheetName val="물량표S"/>
      <sheetName val="홈씨씨 기존 제상품 매출 거래선 LIST"/>
      <sheetName val="집계표"/>
      <sheetName val="수율추이"/>
      <sheetName val="연간rework환소"/>
      <sheetName val="연간rework포장"/>
      <sheetName val="Sheet2 (2)"/>
      <sheetName val="세부추진"/>
      <sheetName val="64164"/>
      <sheetName val="3.현황(창호_라미)"/>
      <sheetName val="3.현황(내외장재_상재)"/>
      <sheetName val="건재"/>
      <sheetName val="생략채권"/>
      <sheetName val="유리"/>
      <sheetName val="원본"/>
      <sheetName val="PAINT"/>
      <sheetName val="SUMMARY"/>
      <sheetName val="KD율"/>
      <sheetName val="기술자문현황(유형별)"/>
      <sheetName val="#93"/>
      <sheetName val="표지"/>
      <sheetName val="C11F"/>
      <sheetName val="POWER"/>
      <sheetName val="3TOP2부_11월 2주차 취합본.xlsx"/>
      <sheetName val="판매일반"/>
      <sheetName val="ID BY INVENTORY"/>
      <sheetName val="상용_mp"/>
      <sheetName val=" OEM상품 매출확대 방안_Ver2.0.xlsx"/>
      <sheetName val="VXXXXXXX"/>
      <sheetName val="95년기준조정"/>
      <sheetName val="GRACE"/>
      <sheetName val="FCU (2)"/>
      <sheetName val="eq_data"/>
      <sheetName val="인원01"/>
      <sheetName val="99기본"/>
      <sheetName val="CMC ellipse"/>
      <sheetName val="6월실적"/>
      <sheetName val="RD제품개발투자비(매가)"/>
      <sheetName val="4"/>
      <sheetName val="#REF"/>
      <sheetName val="COA-17"/>
      <sheetName val="C-18"/>
      <sheetName val="특판단가표"/>
      <sheetName val="월별수입"/>
      <sheetName val="원재료(LC_전체)"/>
      <sheetName val="원재료(전체_전체)"/>
      <sheetName val="당월보"/>
      <sheetName val="전년실적(판)"/>
      <sheetName val="원료"/>
      <sheetName val="단가"/>
      <sheetName val="원단위 산출"/>
      <sheetName val="고정비 내역"/>
      <sheetName val="변동비 내역"/>
      <sheetName val="실행간접비"/>
      <sheetName val="자금운용계획표"/>
      <sheetName val="공문"/>
      <sheetName val="1월"/>
      <sheetName val="판촉계획(고정)"/>
      <sheetName val="제안서"/>
      <sheetName val="행정표준(1)"/>
      <sheetName val="행정표준(2)"/>
      <sheetName val="건    재"/>
      <sheetName val="BASE보유"/>
      <sheetName val="참조자료"/>
      <sheetName val="전체LIST"/>
      <sheetName val="2003년 합계"/>
      <sheetName val="목차"/>
      <sheetName val="협조전"/>
      <sheetName val="원가계산서"/>
      <sheetName val="PumpSpec"/>
      <sheetName val="예산M11A"/>
      <sheetName val="LEGEND"/>
      <sheetName val="VA_code"/>
      <sheetName val="견적집계표"/>
      <sheetName val="BQ"/>
      <sheetName val="9906"/>
      <sheetName val="입력란"/>
      <sheetName val="시평"/>
      <sheetName val="초과사유"/>
      <sheetName val="월간"/>
      <sheetName val="피벗 (2)"/>
      <sheetName val="담보"/>
      <sheetName val="창호이맥스"/>
      <sheetName val="유리이맥스"/>
      <sheetName val="RT산출1"/>
      <sheetName val="설계가"/>
      <sheetName val="주별납기"/>
      <sheetName val="KPI(전산)"/>
      <sheetName val="전직원명단_20011108"/>
      <sheetName val="Atomic Wt Data"/>
      <sheetName val="포장"/>
      <sheetName val="정보과 예산(부수자료 언급)"/>
      <sheetName val="센스타일,강화마루 운영(안).xlsx"/>
      <sheetName val="예산(0902)_WHITE"/>
      <sheetName val="11가공(유형구분)"/>
      <sheetName val="드롭다운목록"/>
      <sheetName val="제조원가계산"/>
      <sheetName val="품목별매출"/>
      <sheetName val="2002-12"/>
      <sheetName val="2003-01"/>
      <sheetName val="성형생산량"/>
      <sheetName val="3_29기준"/>
      <sheetName val="PBS"/>
      <sheetName val="주beam"/>
      <sheetName val="95D"/>
      <sheetName val="94D"/>
      <sheetName val="매출예산96"/>
      <sheetName val="S"/>
      <sheetName val="단체(2)"/>
      <sheetName val="주거용 (2)"/>
      <sheetName val="2-2.매출분석"/>
      <sheetName val="2분기산정제품"/>
      <sheetName val="1.능률현황"/>
      <sheetName val="2.호선별예상실적"/>
      <sheetName val="Sheet7"/>
      <sheetName val="3사인원"/>
      <sheetName val="실적0902_WHITE"/>
      <sheetName val="Sheet1 (2)"/>
      <sheetName val="Database"/>
      <sheetName val="CAPVC"/>
      <sheetName val=""/>
      <sheetName val="첨부2 특판단가표"/>
      <sheetName val="2012.1월~현재(법률자문료비교)"/>
      <sheetName val="h-013211-2"/>
      <sheetName val="2013년원재료Brief"/>
      <sheetName val="적용환율"/>
      <sheetName val="간접비내역-1"/>
      <sheetName val="Actual_Size"/>
      <sheetName val="투입 MM"/>
      <sheetName val="B"/>
      <sheetName val="간접비"/>
      <sheetName val="AT310"/>
      <sheetName val="울산 (2)"/>
      <sheetName val="가족수당"/>
      <sheetName val="상조회"/>
      <sheetName val="소득세"/>
      <sheetName val="SALTAB97"/>
      <sheetName val="의보"/>
      <sheetName val="생산직잔업"/>
      <sheetName val="Factor"/>
      <sheetName val="집계표(육상)"/>
      <sheetName val="철근집계표"/>
      <sheetName val="토사(PE)"/>
      <sheetName val="품의서"/>
      <sheetName val="인원계획-미화"/>
      <sheetName val="현재담보"/>
      <sheetName val="isbg"/>
      <sheetName val="추진실적그래프"/>
      <sheetName val="대손검토"/>
      <sheetName val="생산직"/>
      <sheetName val="5월"/>
      <sheetName val="1-6월"/>
      <sheetName val="전부서공통"/>
      <sheetName val="tt-RESIN"/>
      <sheetName val="Listvalues"/>
      <sheetName val="bs"/>
      <sheetName val="원료소요량 최종 (2)"/>
      <sheetName val="DB2-순위"/>
      <sheetName val="Config"/>
      <sheetName val="Scenario"/>
      <sheetName val="수입비용1021"/>
      <sheetName val="현장코드"/>
      <sheetName val="학교명단"/>
      <sheetName val="금융비용"/>
      <sheetName val="미수수익"/>
      <sheetName val="속성"/>
      <sheetName val="비용"/>
      <sheetName val="주요비율-낙관"/>
      <sheetName val="유형별 (6.22)"/>
      <sheetName val="5사남"/>
      <sheetName val="제품별"/>
    </sheetNames>
    <sheetDataSet>
      <sheetData sheetId="0" refreshError="1">
        <row r="51">
          <cell r="B51">
            <v>88616</v>
          </cell>
          <cell r="C51">
            <v>59770</v>
          </cell>
          <cell r="D51">
            <v>47983</v>
          </cell>
        </row>
        <row r="52">
          <cell r="B52">
            <v>116421</v>
          </cell>
          <cell r="C52">
            <v>88616</v>
          </cell>
          <cell r="D52">
            <v>59770</v>
          </cell>
        </row>
        <row r="53">
          <cell r="B53">
            <v>105184</v>
          </cell>
          <cell r="C53">
            <v>116421</v>
          </cell>
          <cell r="D53">
            <v>88616</v>
          </cell>
        </row>
        <row r="54">
          <cell r="B54">
            <v>117790</v>
          </cell>
          <cell r="C54">
            <v>105184</v>
          </cell>
          <cell r="D54">
            <v>116421</v>
          </cell>
        </row>
        <row r="55">
          <cell r="B55">
            <v>116221</v>
          </cell>
          <cell r="C55">
            <v>117790</v>
          </cell>
          <cell r="D55">
            <v>105184</v>
          </cell>
        </row>
        <row r="56">
          <cell r="B56">
            <v>117328</v>
          </cell>
          <cell r="C56">
            <v>116221</v>
          </cell>
          <cell r="D56">
            <v>117790</v>
          </cell>
        </row>
        <row r="57">
          <cell r="B57">
            <v>113821</v>
          </cell>
          <cell r="C57">
            <v>117328</v>
          </cell>
          <cell r="D57">
            <v>116221</v>
          </cell>
        </row>
        <row r="58">
          <cell r="B58">
            <v>113374</v>
          </cell>
          <cell r="C58">
            <v>113821</v>
          </cell>
          <cell r="D58">
            <v>117328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품원재"/>
      <sheetName val="원재출고"/>
      <sheetName val="ITEM별"/>
      <sheetName val="부재예실"/>
      <sheetName val="원본"/>
      <sheetName val="판매일반"/>
      <sheetName val="예산실적전체당월"/>
      <sheetName val="누계"/>
      <sheetName val="항목(1)"/>
      <sheetName val="건설성적"/>
      <sheetName val="Sheet3"/>
      <sheetName val="Sheet2"/>
      <sheetName val="부재예실1월"/>
      <sheetName val="실적양식"/>
      <sheetName val="월별인원"/>
      <sheetName val="목차"/>
      <sheetName val="토지건물"/>
      <sheetName val="2공장동별"/>
      <sheetName val="3공장동별"/>
      <sheetName val="사원apt"/>
      <sheetName val="조경현황"/>
      <sheetName val="인원현황"/>
      <sheetName val="전주1"/>
      <sheetName val="전주2"/>
      <sheetName val="전주분소"/>
      <sheetName val="현장1년차 (2)"/>
      <sheetName val="현장3년 (2)"/>
      <sheetName val="현장평균 (2)"/>
      <sheetName val="위원현황"/>
      <sheetName val="용역현황"/>
      <sheetName val="9-1"/>
      <sheetName val="9-2"/>
      <sheetName val="전라북도현황"/>
      <sheetName val="산업단지현황"/>
      <sheetName val="전주3공단현황"/>
      <sheetName val="건설현황"/>
      <sheetName val="직원현황"/>
      <sheetName val="95년기준조정"/>
      <sheetName val="보고서식"/>
      <sheetName val="월간"/>
      <sheetName val="차이분석"/>
      <sheetName val="기초일위"/>
      <sheetName val="시설일위"/>
      <sheetName val="조명일위"/>
      <sheetName val="신제품1"/>
      <sheetName val="신제품3"/>
      <sheetName val="Sheet1"/>
      <sheetName val="비주거용"/>
      <sheetName val="세부(종합)"/>
      <sheetName val="00실적"/>
      <sheetName val="두께별"/>
      <sheetName val="GC산출"/>
      <sheetName val="과단위"/>
      <sheetName val="guard(mac)"/>
      <sheetName val="VXXXXXXX"/>
      <sheetName val="#REF"/>
      <sheetName val="tggwan(mac)"/>
      <sheetName val="SUMMARY(S)"/>
      <sheetName val="내역서"/>
      <sheetName val="기타수당"/>
      <sheetName val="연차수당"/>
      <sheetName val="03년 손익"/>
      <sheetName val=" 5. 판유리기술팀.xlsx"/>
      <sheetName val=" 2.건축환경연구.xlsx"/>
      <sheetName val="1"/>
      <sheetName val="신제품2"/>
      <sheetName val="주간업무.xlsx"/>
      <sheetName val="전부서"/>
      <sheetName val="RD제품개발투자비(매가)"/>
      <sheetName val="CAUDIT"/>
      <sheetName val="제안서"/>
      <sheetName val="행정표준(1)"/>
      <sheetName val="행정표준(2)"/>
      <sheetName val="본문"/>
      <sheetName val=" 4. 무기소재_석고보드기술.xlsx"/>
      <sheetName val="자체실적1Q"/>
      <sheetName val="예산입력(전)"/>
      <sheetName val="현장1년차_(2)"/>
      <sheetName val="현장3년_(2)"/>
      <sheetName val="현장평균_(2)"/>
      <sheetName val="_5__판유리기술팀_xlsx"/>
      <sheetName val="_2_건축환경연구_xlsx"/>
      <sheetName val="03년_손익"/>
      <sheetName val="주간업무_xlsx"/>
      <sheetName val="_4__무기소재_석고보드기술_xlsx"/>
      <sheetName val="2-8"/>
      <sheetName val="생산판매재고"/>
      <sheetName val="건    재"/>
      <sheetName val="주간예상실적(공업)"/>
      <sheetName val="DAT(목표)"/>
      <sheetName val="수지공장 ITEM별 작업시간"/>
      <sheetName val="2.대외공문"/>
      <sheetName val="지급자재"/>
      <sheetName val="지부전체"/>
      <sheetName val="투자예산"/>
      <sheetName val="1을"/>
      <sheetName val="MC산출근거"/>
      <sheetName val="수리결과"/>
      <sheetName val="홈씨씨 기존 제상품 매출 거래선 LIST"/>
      <sheetName val="관리전폭"/>
      <sheetName val="기능인사자료"/>
      <sheetName val="9월누계(산지계)"/>
      <sheetName val="%EC%B0%A8%EC%9D%B4%EB%B6%84%EC%"/>
      <sheetName val="95MAKER"/>
      <sheetName val="제출내역"/>
      <sheetName val="통계자료"/>
      <sheetName val="물량10월"/>
      <sheetName val="당월실적"/>
      <sheetName val="1월"/>
      <sheetName val="고려성적"/>
      <sheetName val="typecode"/>
      <sheetName val="DATA1"/>
      <sheetName val="KPI(전산)"/>
      <sheetName val="機器明細(MC)"/>
      <sheetName val="전년실적"/>
      <sheetName val="보증금(판)"/>
      <sheetName val="판1부"/>
      <sheetName val="engline"/>
      <sheetName val="총괄표"/>
      <sheetName val="재정"/>
      <sheetName val="TTT"/>
      <sheetName val="준검 내역서"/>
      <sheetName val="이자율"/>
      <sheetName val="산출근거"/>
      <sheetName val="국가코드"/>
      <sheetName val="세무서코드(2004.4.1이후)"/>
      <sheetName val="BASE"/>
      <sheetName val="공장평가(12-1분기)(양식변경안).xlsx"/>
      <sheetName val="2003년 합계"/>
      <sheetName val="조선용암면"/>
      <sheetName val="재정_FB완료"/>
      <sheetName val="박두익"/>
      <sheetName val="PVC"/>
      <sheetName val="수입"/>
      <sheetName val="교수설계"/>
      <sheetName val="공문"/>
      <sheetName val="불만처리현황"/>
      <sheetName val="9806-9901"/>
      <sheetName val="MACRO1.XLM"/>
      <sheetName val="철근집계표"/>
      <sheetName val="01"/>
      <sheetName val="울산(코드별규격)"/>
      <sheetName val="1.불만접수현황"/>
      <sheetName val="온도계차트"/>
      <sheetName val="방정식그래프"/>
      <sheetName val="원형대원형"/>
      <sheetName val="양식도구와차트"/>
      <sheetName val="MES"/>
      <sheetName val="원본1"/>
      <sheetName val="소개"/>
      <sheetName val="표지"/>
      <sheetName val="9907협력"/>
      <sheetName val="건재양식"/>
      <sheetName val="지역별수출"/>
      <sheetName val="12월실적"/>
      <sheetName val="품의플로"/>
      <sheetName val="참조셀삭제금지"/>
      <sheetName val="KD율"/>
      <sheetName val="생략채권"/>
      <sheetName val="유리"/>
      <sheetName val="세부추진"/>
      <sheetName val="실행예산"/>
      <sheetName val="Sheet5"/>
      <sheetName val="4"/>
      <sheetName val="전체LIST"/>
      <sheetName val="집계표(육상)"/>
      <sheetName val="기초생년월일"/>
      <sheetName val="목록"/>
      <sheetName val="건재 (세부)"/>
      <sheetName val="해외"/>
      <sheetName val="국가코드-관할지사(수정)"/>
      <sheetName val="3.PT개발계획"/>
      <sheetName val="월별계획집계표(8월판매)"/>
      <sheetName val="Cover"/>
      <sheetName val="품셈TABLE"/>
      <sheetName val="시공여유율"/>
      <sheetName val="배합비(99-05-25)"/>
      <sheetName val="3사인원"/>
      <sheetName val="3TOP2부_11월 2주차 취합본.xlsx"/>
      <sheetName val="예적금"/>
      <sheetName val="XL4Poppy"/>
      <sheetName val="배합비(2,3.4분기)"/>
      <sheetName val="결론"/>
      <sheetName val="전기일위대가"/>
      <sheetName val="APT내역"/>
      <sheetName val="부대시설"/>
      <sheetName val="Raw Materials"/>
      <sheetName val="Indirect Mat."/>
      <sheetName val="Color Paste"/>
      <sheetName val="merchandise"/>
      <sheetName val="Sheet4"/>
      <sheetName val="사업부원가"/>
      <sheetName val="년차수당"/>
      <sheetName val="Front"/>
      <sheetName val="wall"/>
      <sheetName val="5사남"/>
      <sheetName val="코드표"/>
      <sheetName val="미지급금"/>
      <sheetName val="매트"/>
      <sheetName val="사이즈"/>
      <sheetName val="용융"/>
      <sheetName val="티슈"/>
      <sheetName val=" 2011년 부서별 폐기물 감소 방안.xlsx"/>
      <sheetName val="사업소득자세수추계"/>
      <sheetName val="건재"/>
      <sheetName val="실적0902_WHITE"/>
      <sheetName val="TOTAL"/>
      <sheetName val="원재료(LC_전체)"/>
      <sheetName val="원재료(전체_전체)"/>
      <sheetName val="금강투자2000"/>
      <sheetName val="일위대가표"/>
      <sheetName val="기초"/>
      <sheetName val="월별손익"/>
      <sheetName val=" KPI 양식.xlsx"/>
      <sheetName val="Low Data 누계"/>
      <sheetName val="공비대비"/>
      <sheetName val="간접비"/>
      <sheetName val=" 고객불만사항(CS팀).xlsx"/>
      <sheetName val="반제품"/>
      <sheetName val="변경증감내역서"/>
      <sheetName val="비교차트"/>
      <sheetName val="전체"/>
      <sheetName val="2012.1월~현재(법률자문료비교)"/>
      <sheetName val="2"/>
      <sheetName val=" 3TOP 운영계획_양식통일.xlsx"/>
      <sheetName val="원하대비"/>
      <sheetName val="원도급"/>
      <sheetName val="하도급"/>
      <sheetName val="도입리스트"/>
      <sheetName val="97년 추정"/>
      <sheetName val="2-2.매출분석"/>
      <sheetName val="인력(정규직)"/>
      <sheetName val="CoA map"/>
      <sheetName val="C11F"/>
      <sheetName val="생산계획(MT)"/>
      <sheetName val="발행제기"/>
      <sheetName val="손익11"/>
      <sheetName val="보고2"/>
      <sheetName val="건축도급단가"/>
      <sheetName val="실행단가"/>
      <sheetName val="배합비(99-06-15)"/>
      <sheetName val="집계표"/>
      <sheetName val="금융"/>
      <sheetName val="9906"/>
      <sheetName val="운반"/>
      <sheetName val="당월보"/>
      <sheetName val="전년실적(판)"/>
      <sheetName val="3.수익성향상"/>
      <sheetName val="유형분류"/>
      <sheetName val="BASE보유"/>
      <sheetName val="참조자료"/>
      <sheetName val=" 특판지원부5월 마감자료(05.07).xlsx"/>
      <sheetName val="은행"/>
      <sheetName val="1과"/>
      <sheetName val="DATA"/>
      <sheetName val="상용_mp"/>
      <sheetName val="2개년도 판촉실적분석"/>
      <sheetName val="대중소"/>
      <sheetName val="일위목록"/>
      <sheetName val="급,배기팬"/>
      <sheetName val="투자-국내2"/>
      <sheetName val="소상 &quot;1&quot;"/>
      <sheetName val="수입비용1021"/>
      <sheetName val="현장코드"/>
      <sheetName val="울산_AT"/>
      <sheetName val="_9년자재매각"/>
      <sheetName val="회사정보"/>
      <sheetName val="5쪽"/>
      <sheetName val="일년TOTAL"/>
      <sheetName val="2.´e¿U°ø¹R"/>
      <sheetName val="본예산"/>
      <sheetName val="피벗(월별아이템설계구분)"/>
      <sheetName val="일위대가(1)"/>
      <sheetName val="출장거리"/>
      <sheetName val="국별인원"/>
      <sheetName val="LSH CODE"/>
      <sheetName val="개설수"/>
      <sheetName val="자금운용계획표"/>
      <sheetName val="OD5000"/>
      <sheetName val="3-6"/>
      <sheetName val="6.5"/>
      <sheetName val="정부노임단가"/>
      <sheetName val="PP%계산"/>
      <sheetName val="2-1 CAPA 작성기준(건재)"/>
      <sheetName val="수량산출"/>
      <sheetName val="Atomic Wt Data"/>
      <sheetName val="Drop downs"/>
      <sheetName val="1.능률현황"/>
      <sheetName val="2.호선별예상실적"/>
      <sheetName val="계정별실적"/>
      <sheetName val="공사내역서(을)실행"/>
      <sheetName val="포장"/>
      <sheetName val="6PILE  (돌출)"/>
      <sheetName val="1.설계조건"/>
      <sheetName val="1-1"/>
      <sheetName val="간접비내역-1"/>
      <sheetName val="Tbom-tot"/>
      <sheetName val="수성자동포장라인자동화.xlsx"/>
      <sheetName val="USA"/>
      <sheetName val="담보"/>
      <sheetName val="창호이맥스"/>
      <sheetName val="유리이맥스"/>
      <sheetName val="DailyInput"/>
      <sheetName val="한계손익"/>
      <sheetName val="기초자료"/>
      <sheetName val="업무연락"/>
      <sheetName val="h-013211-2"/>
      <sheetName val="full (2)"/>
      <sheetName val="계정코드집"/>
      <sheetName val="활동코드집"/>
      <sheetName val="단가"/>
      <sheetName val="재고"/>
      <sheetName val="부서"/>
      <sheetName val="사업"/>
      <sheetName val="MH_생산"/>
      <sheetName val="MOTOR"/>
      <sheetName val="실행철강하도"/>
      <sheetName val="분체 노후설비 교체 투자(분산기1대,분쇄기2대).xlsx"/>
      <sheetName val="주별납기"/>
      <sheetName val="정리"/>
      <sheetName val="일위대가목록"/>
      <sheetName val="정보매체A동"/>
      <sheetName val="본사"/>
      <sheetName val="MaSo"/>
      <sheetName val="95D"/>
      <sheetName val="94D"/>
      <sheetName val="물량표"/>
      <sheetName val="3.현황(창호_라미)"/>
      <sheetName val="3.현황(내외장재_상재)"/>
      <sheetName val="DB2-순위"/>
      <sheetName val="수주계획 (3)"/>
      <sheetName val="대외공문"/>
      <sheetName val="备注"/>
      <sheetName val="동해title"/>
      <sheetName val="＃ 발생사유"/>
      <sheetName val="＃ 발생사유 (2)"/>
      <sheetName val="UTMBPL"/>
      <sheetName val="그래프"/>
      <sheetName val="자료"/>
      <sheetName val="원가"/>
      <sheetName val="2008 건재예산$100기준"/>
      <sheetName val="여과지동"/>
      <sheetName val="Sheet1 (3)"/>
      <sheetName val="참고자료(PM중점과제)"/>
      <sheetName val="200101"/>
      <sheetName val="센스타일,강화마루 운영(안).xlsx"/>
      <sheetName val="2000년1차"/>
      <sheetName val="기성내역"/>
      <sheetName val="제조수량"/>
      <sheetName val="적용환율"/>
      <sheetName val="배합변경_1"/>
      <sheetName val="품질경영"/>
      <sheetName val="생산일정"/>
      <sheetName val="보고서P"/>
      <sheetName val="년근태"/>
      <sheetName val="1. 2012년 연구소 출하제품 현황.xlsx"/>
      <sheetName val="Listvalues"/>
      <sheetName val="일위대가목차"/>
      <sheetName val="TB-내역서"/>
      <sheetName val="첨부2 특판단가표"/>
      <sheetName val="12년 3분기단가"/>
      <sheetName val="계획08"/>
      <sheetName val="과구분"/>
      <sheetName val="2월판매"/>
      <sheetName val="울산(구분)"/>
      <sheetName val="대리점전화번호-셀손대지 말것"/>
      <sheetName val="Dec 2012 Salary"/>
      <sheetName val="Sheet1 (2)"/>
      <sheetName val="06년 적산"/>
      <sheetName val="SM1-09"/>
      <sheetName val="SM2-09"/>
      <sheetName val="BD-09"/>
      <sheetName val="18 BL 배관 내역"/>
      <sheetName val="MT-09"/>
      <sheetName val="총내역서"/>
      <sheetName val="실적예산0812_WHITE"/>
      <sheetName val="D1300 자삽"/>
      <sheetName val="공통"/>
      <sheetName val="첨부1"/>
      <sheetName val="제조원가계산"/>
      <sheetName val="품목별매출"/>
      <sheetName val="J"/>
      <sheetName val="현장1년차_(2)1"/>
      <sheetName val="현장3년_(2)1"/>
      <sheetName val="현장평균_(2)1"/>
      <sheetName val="_5__판유리기술팀_xlsx1"/>
      <sheetName val="_2_건축환경연구_xlsx1"/>
      <sheetName val="03년_손익1"/>
      <sheetName val="주간업무_xlsx1"/>
      <sheetName val="_4__무기소재_석고보드기술_xlsx1"/>
      <sheetName val="건____재"/>
      <sheetName val="수지공장_ITEM별_작업시간"/>
      <sheetName val="2_대외공문"/>
      <sheetName val="홈씨씨_기존_제상품_매출_거래선_LIST"/>
      <sheetName val="2003년_합계"/>
      <sheetName val="97년_추정"/>
      <sheetName val="준검_내역서"/>
      <sheetName val="세무서코드(2004_4_1이후)"/>
      <sheetName val="공장평가(12-1분기)(양식변경안)_xlsx"/>
      <sheetName val="MACRO1_XLM"/>
      <sheetName val="1_불만접수현황"/>
      <sheetName val="건재_(세부)"/>
      <sheetName val="3_PT개발계획"/>
      <sheetName val="3TOP2부_11월_2주차_취합본_xlsx"/>
      <sheetName val="배합비(2,3_4분기)"/>
      <sheetName val="Raw_Materials"/>
      <sheetName val="Indirect_Mat_"/>
      <sheetName val="Color_Paste"/>
      <sheetName val="_2011년_부서별_폐기물_감소_방안_xlsx"/>
      <sheetName val="_KPI_양식_xlsx"/>
      <sheetName val="Low_Data_누계"/>
      <sheetName val="_고객불만사항(CS팀)_xlsx"/>
      <sheetName val="_3TOP_운영계획_양식통일_xlsx"/>
      <sheetName val="2012_1월~현재(법률자문료비교)"/>
      <sheetName val="Validations"/>
      <sheetName val="US Code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근거"/>
      <sheetName val="집계양식"/>
      <sheetName val="총시장(확정)"/>
      <sheetName val="00예상실적"/>
      <sheetName val="전체"/>
      <sheetName val="수출"/>
      <sheetName val="내수"/>
      <sheetName val="95년기준조정"/>
      <sheetName val="지표"/>
      <sheetName val="Sheet4"/>
      <sheetName val="비주거용"/>
      <sheetName val="Sheet1"/>
      <sheetName val="부재예실"/>
      <sheetName val="제품원재"/>
      <sheetName val="GC산출"/>
      <sheetName val="부재예실1월"/>
      <sheetName val="리피니쉬총시장(0807)"/>
      <sheetName val="건설성적"/>
      <sheetName val="MC산출근거"/>
      <sheetName val="건재양식"/>
      <sheetName val="예산실적전체당월"/>
      <sheetName val="수리결과"/>
      <sheetName val="초과사유"/>
      <sheetName val="97년 추정"/>
      <sheetName val="일위대가표"/>
      <sheetName val="과단위"/>
      <sheetName val="1을"/>
      <sheetName val="이자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주거용"/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판촉계획(고정)"/>
      <sheetName val="산출근거"/>
      <sheetName val="예산실적전체당월"/>
      <sheetName val="MC산출근거"/>
      <sheetName val="GC산출"/>
      <sheetName val="제안서"/>
      <sheetName val="행정표준(1)"/>
      <sheetName val="행정표준(2)"/>
      <sheetName val="5쪽"/>
      <sheetName val="9805허가"/>
      <sheetName val="전체LIST"/>
      <sheetName val="1"/>
      <sheetName val="반품상세"/>
      <sheetName val="제품원재"/>
      <sheetName val="guard(mac)"/>
      <sheetName val="VXXXXXXX"/>
      <sheetName val="#REF"/>
      <sheetName val="tggwan(mac)"/>
      <sheetName val="건설성적"/>
      <sheetName val="건    재"/>
      <sheetName val="차량별점검"/>
      <sheetName val="engline"/>
      <sheetName val="투자예산"/>
      <sheetName val="승용"/>
      <sheetName val="원본"/>
      <sheetName val="00실적"/>
      <sheetName val="5사남"/>
      <sheetName val="골프모래"/>
      <sheetName val="단가"/>
      <sheetName val="000000"/>
      <sheetName val="LEGEND"/>
      <sheetName val="년차수당"/>
      <sheetName val="1을"/>
      <sheetName val="VA_code"/>
      <sheetName val="부재예실1월"/>
      <sheetName val="조선용암면"/>
      <sheetName val="건재양식"/>
      <sheetName val="건재"/>
      <sheetName val="생략채권"/>
      <sheetName val="유리"/>
      <sheetName val="PVC"/>
      <sheetName val="일년TOTAL"/>
      <sheetName val="코드표(세무증빙표)"/>
      <sheetName val="월간"/>
      <sheetName val="부재예실"/>
      <sheetName val=" 17. 유기소재.xlsx"/>
      <sheetName val="BASE"/>
      <sheetName val="95MAKER"/>
      <sheetName val="Atomic Wt Data"/>
      <sheetName val="수리결과"/>
      <sheetName val="3사인원"/>
      <sheetName val="피벗 (2)"/>
      <sheetName val="부대시설"/>
      <sheetName val="Apt내역"/>
      <sheetName val="신규DEP"/>
      <sheetName val="95년기준조정"/>
      <sheetName val="5.세운W-A"/>
      <sheetName val="RD제품개발투자비(매가)"/>
      <sheetName val="배합비(99-05-25)"/>
      <sheetName val="빙100장비사양"/>
      <sheetName val="초과사유"/>
      <sheetName val="CMC ellipse"/>
      <sheetName val="Sheet4"/>
      <sheetName val="투찰추정"/>
      <sheetName val="입찰안"/>
      <sheetName val="건축도급단가"/>
      <sheetName val="실행단가"/>
      <sheetName val="이자율"/>
      <sheetName val="출장거리"/>
      <sheetName val="미지급금"/>
      <sheetName val="금액"/>
      <sheetName val="운영계획"/>
      <sheetName val="손료기준-공사부구두문의"/>
      <sheetName val="97년 추정"/>
      <sheetName val="선급법인세"/>
      <sheetName val="tabl"/>
      <sheetName val="Sheet1"/>
      <sheetName val="LAB설비"/>
      <sheetName val="통계자료"/>
      <sheetName val="04월계획"/>
      <sheetName val="12월실적"/>
      <sheetName val="단가대비표"/>
      <sheetName val="전년실적"/>
      <sheetName val="표지"/>
      <sheetName val="판매 계획"/>
      <sheetName val="자체실적1Q"/>
      <sheetName val="Sheet2 (2)"/>
      <sheetName val="Listvalues"/>
      <sheetName val="OD5000"/>
      <sheetName val="개설수"/>
      <sheetName val="기초생년월일"/>
      <sheetName val="KPI(전산)"/>
      <sheetName val="report_20"/>
      <sheetName val="camera_30"/>
      <sheetName val="당월실적"/>
      <sheetName val="구분자룩업"/>
      <sheetName val="1분기용기보증금산정"/>
      <sheetName val="DATA"/>
      <sheetName val="04월실적"/>
      <sheetName val="항목(1)"/>
      <sheetName val="1월"/>
      <sheetName val="협조전"/>
      <sheetName val="4"/>
      <sheetName val="배합비(2,3.4분기)"/>
      <sheetName val="계획08"/>
      <sheetName val="KSHAHU-6"/>
      <sheetName val="Sheet2"/>
      <sheetName val="울산(코드별규격)"/>
      <sheetName val="보증금(판)"/>
      <sheetName val="판1부"/>
      <sheetName val="월별수입"/>
      <sheetName val="2-8"/>
      <sheetName val="2003년 합계"/>
      <sheetName val="결론"/>
      <sheetName val="10"/>
      <sheetName val="90"/>
      <sheetName val="40"/>
      <sheetName val="50"/>
      <sheetName val="60"/>
      <sheetName val="70"/>
      <sheetName val="camera_10"/>
      <sheetName val="S"/>
      <sheetName val="9월누계(산지계)"/>
      <sheetName val="실행내역서(DCU)"/>
      <sheetName val=" 갑지"/>
      <sheetName val="손익11"/>
      <sheetName val="구분자"/>
      <sheetName val="11가공(유형구분)"/>
      <sheetName val="주간예상실적(공업)"/>
      <sheetName val="Finished Goods "/>
      <sheetName val="누계 내외장재 비율"/>
      <sheetName val="예산M11A"/>
      <sheetName val="건재0001"/>
      <sheetName val="차수"/>
      <sheetName val="코드표"/>
      <sheetName val="機器明細(MC)"/>
      <sheetName val="기타수당"/>
      <sheetName val="연차수당"/>
      <sheetName val="03년 손익"/>
      <sheetName val="기본"/>
      <sheetName val="매트"/>
      <sheetName val="사이즈"/>
      <sheetName val="용융"/>
      <sheetName val="티슈"/>
      <sheetName val="일위대가목록"/>
      <sheetName val="2012년경영자면담자료.xlsx"/>
      <sheetName val="정보매체A동"/>
      <sheetName val="일위대가"/>
      <sheetName val="박두익"/>
      <sheetName val="원재료비 UP-DATE"/>
      <sheetName val="PDP"/>
      <sheetName val=" 10개년 장기 판매계획 양식(산업용_플랜트).xlsx"/>
      <sheetName val="수율추이"/>
      <sheetName val="로봇소프트플랫폼_기술분류"/>
      <sheetName val="과제"/>
      <sheetName val="2.대외공문"/>
      <sheetName val="세부(종합)"/>
      <sheetName val="조명일위"/>
      <sheetName val="생산판매재고"/>
      <sheetName val="도입리스트"/>
      <sheetName val="미확인"/>
      <sheetName val="운영자금차입금"/>
      <sheetName val="주별납기"/>
      <sheetName val="9907협력"/>
      <sheetName val="포장"/>
      <sheetName val="현재담보"/>
      <sheetName val="2"/>
      <sheetName val="지부전체"/>
      <sheetName val="준검 내역서"/>
      <sheetName val="특판단가표"/>
      <sheetName val="배합변경_1"/>
      <sheetName val="품질경영"/>
      <sheetName val="재고"/>
      <sheetName val="참고"/>
      <sheetName val="관할"/>
      <sheetName val="12"/>
      <sheetName val="품의서"/>
      <sheetName val="3.제품군별 실적(보고용)"/>
      <sheetName val="출금실적"/>
      <sheetName val="재무현황"/>
      <sheetName val="지급자재"/>
      <sheetName val="변경내역대비표(2)"/>
      <sheetName val="총괄표"/>
      <sheetName val="판매일반"/>
      <sheetName val="거래선유형"/>
      <sheetName val="PATENT"/>
      <sheetName val="1과"/>
      <sheetName val="연료비입력"/>
      <sheetName val="재정"/>
      <sheetName val="TTT"/>
      <sheetName val="과단위"/>
      <sheetName val="가설재손료"/>
      <sheetName val="인원계획"/>
      <sheetName val="참고.반영율"/>
      <sheetName val="실적(2안)"/>
      <sheetName val="보증금(전신전화가입권)"/>
      <sheetName val="미착기계"/>
      <sheetName val="대전-교대(A1-A2)"/>
      <sheetName val="추가예산"/>
      <sheetName val="자동차표"/>
      <sheetName val="총원"/>
      <sheetName val="지역별수출"/>
      <sheetName val="참조1"/>
      <sheetName val="금강투자2000"/>
      <sheetName val="성형자료"/>
      <sheetName val="철콘(승대건설)"/>
      <sheetName val="MOTOR"/>
      <sheetName val="TOTAL"/>
      <sheetName val="SurveyTotals"/>
      <sheetName val="3.현황(창호_라미)"/>
      <sheetName val="3.현황(내외장재_상재)"/>
      <sheetName val="KCB단가코드"/>
      <sheetName val="두께별"/>
      <sheetName val=" Global Top (2012-03-06).xlsx"/>
      <sheetName val="3.붙이기"/>
      <sheetName val="판매추정"/>
      <sheetName val="토지면적"/>
      <sheetName val="1인당GDP"/>
      <sheetName val="시도별추계인구"/>
      <sheetName val="미착재고현황전주"/>
      <sheetName val="6월보고실적현황"/>
      <sheetName val="기초일위"/>
      <sheetName val="시설일위"/>
      <sheetName val="내역"/>
      <sheetName val="패티"/>
      <sheetName val="소스"/>
      <sheetName val="을-ATYPE"/>
      <sheetName val="부서"/>
      <sheetName val="인상효1"/>
      <sheetName val="창호이맥스"/>
      <sheetName val="담보"/>
      <sheetName val="유리이맥스"/>
      <sheetName val="신제품1"/>
      <sheetName val="10월계획"/>
      <sheetName val="정공공사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캔판매목표"/>
      <sheetName val="시장"/>
      <sheetName val="일정표"/>
      <sheetName val="고정자산"/>
      <sheetName val="매출원가추정"/>
      <sheetName val="매출추정"/>
      <sheetName val="방정식그래프"/>
      <sheetName val="4월정산"/>
      <sheetName val="3월정산"/>
      <sheetName val="7월정산(8월)전체"/>
      <sheetName val="8월씨마크"/>
      <sheetName val="10월정산(9월사용-1)"/>
      <sheetName val="wall"/>
      <sheetName val="Front"/>
      <sheetName val="최종가공"/>
      <sheetName val="2월판매"/>
      <sheetName val="변경증감내역서"/>
      <sheetName val="전체"/>
      <sheetName val="BASE보유"/>
      <sheetName val="참조자료"/>
      <sheetName val="집계표"/>
      <sheetName val="생산일정"/>
      <sheetName val="3.수익성향상"/>
      <sheetName val="관리전폭"/>
      <sheetName val="Sheet3"/>
      <sheetName val="지질조사"/>
      <sheetName val="사업소득자세수추계"/>
      <sheetName val="일위대가표"/>
      <sheetName val="집계표(육상)"/>
      <sheetName val="9906"/>
      <sheetName val="참조"/>
      <sheetName val="매출"/>
      <sheetName val="이맥스"/>
      <sheetName val="연돌일위집계"/>
      <sheetName val="수선계획표"/>
      <sheetName val="신제품3"/>
      <sheetName val="그래프"/>
      <sheetName val="삼성(당산)월하반기"/>
      <sheetName val="2013년누계불량채권"/>
      <sheetName val="2013년누계"/>
      <sheetName val="R&amp;D"/>
      <sheetName val="해외"/>
      <sheetName val="직노"/>
      <sheetName val="h-013211-2"/>
      <sheetName val="코드"/>
      <sheetName val="운반"/>
      <sheetName val="실행철강하도"/>
      <sheetName val="2-2.매출분석"/>
      <sheetName val="동재"/>
      <sheetName val="경비비교표(예실)"/>
      <sheetName val="공문"/>
      <sheetName val="B"/>
      <sheetName val="상용"/>
      <sheetName val="기초자료"/>
      <sheetName val="견적집계표"/>
      <sheetName val="설계조건"/>
      <sheetName val="RW"/>
      <sheetName val="조회서"/>
      <sheetName val="Sheet1 (2)"/>
      <sheetName val="DHEQSUPT"/>
      <sheetName val="1995년 섹터별 매출"/>
      <sheetName val="가격"/>
      <sheetName val="센스타일,강화마루 운영(안).xlsx"/>
      <sheetName val="C11F"/>
      <sheetName val="tt-RESIN"/>
      <sheetName val="출고 자료합계(원본)"/>
      <sheetName val="GRACE"/>
      <sheetName val="10월예약현황(씨마크)"/>
      <sheetName val="200005"/>
      <sheetName val="감축 아이템"/>
      <sheetName val="1인당매출"/>
      <sheetName val="기술자문 현재진행인력(기존+신규)"/>
      <sheetName val="동해title"/>
      <sheetName val="학력조회"/>
      <sheetName val="골조시행"/>
      <sheetName val="CAT_5"/>
      <sheetName val="단위원가"/>
      <sheetName val="원단위 산출"/>
      <sheetName val="고정비 내역"/>
      <sheetName val="변동비 내역"/>
      <sheetName val="석고보드"/>
      <sheetName val="능율"/>
      <sheetName val="석고보드(3호기)"/>
      <sheetName val="차액보증"/>
      <sheetName val="홈씨씨 기존 제상품 매출 거래선 LIST"/>
      <sheetName val="배합비(99-06-15)"/>
      <sheetName val="★원자재작업용"/>
      <sheetName val="필름(100826)"/>
      <sheetName val="보강재작업용"/>
      <sheetName val="★가격표(2011.03)"/>
      <sheetName val="제품구분"/>
      <sheetName val="200101"/>
      <sheetName val="한강운반비"/>
      <sheetName val="2000년 신제품 내역"/>
      <sheetName val="Tbom-tot"/>
      <sheetName val="1차설계변경내역"/>
      <sheetName val="작성기준"/>
      <sheetName val="95D"/>
      <sheetName val="94D"/>
      <sheetName val="예산입력(전)"/>
      <sheetName val="현황보고"/>
      <sheetName val="계획담당자참고"/>
      <sheetName val="Code(전체)"/>
      <sheetName val="★15년 기능직 인센티브 지급안(15.10.13)-최종("/>
      <sheetName val=" ◎2016년 기본예산 공장 - 투자 집계-2016022"/>
      <sheetName val=" 2.건설사별 품목별 연도별 실적(9월3주차)_건설상품("/>
      <sheetName val=" 장외영향평가 진행 사항.xlsx"/>
      <sheetName val="세부추진"/>
      <sheetName val="상용_mp"/>
      <sheetName val=" 10개년 장기 판매계획 양식.xlsx"/>
      <sheetName val=" 장기재고 현황 (6월).xlsx"/>
      <sheetName val="변경"/>
      <sheetName val="GEUB "/>
      <sheetName val="본문"/>
      <sheetName val="공비대비"/>
      <sheetName val="2002-12"/>
      <sheetName val="2003-01"/>
      <sheetName val="★14 기본투자예산_ver3(신설수지 추가).xlsx"/>
      <sheetName val="물량투입계획"/>
      <sheetName val="FC-101"/>
      <sheetName val="3월"/>
      <sheetName val="1분기보증금산정"/>
      <sheetName val="기능인사자료"/>
      <sheetName val="전부서공통"/>
      <sheetName val="자료"/>
      <sheetName val="2공구산출내역"/>
      <sheetName val="실행예산"/>
      <sheetName val="기준데이터"/>
      <sheetName val="대비2"/>
      <sheetName val="98지급계획"/>
      <sheetName val="고려성적"/>
      <sheetName val="주요원재료현황"/>
      <sheetName val="울산_AT"/>
      <sheetName val="메인생산량"/>
      <sheetName val="박한솔(첨부)"/>
      <sheetName val="카메라원본2 (2)"/>
      <sheetName val="경비공통"/>
      <sheetName val="외화가수금"/>
      <sheetName val="리스트"/>
      <sheetName val="12년실적"/>
      <sheetName val="수리제작작업"/>
      <sheetName val="성형생산량"/>
      <sheetName val="입력란"/>
      <sheetName val="Sheet4 (2)"/>
      <sheetName val="2분기"/>
      <sheetName val="출고지코드"/>
      <sheetName val="시산표"/>
      <sheetName val="jbr020sa"/>
      <sheetName val="인원"/>
      <sheetName val="0421_임원인터뷰"/>
      <sheetName val="0420_실사_정도식"/>
      <sheetName val="월계획"/>
      <sheetName val="원료단가"/>
      <sheetName val="당월보"/>
      <sheetName val="전년실적(판)"/>
      <sheetName val="2분기산정제품"/>
      <sheetName val="참고자료(PM중점과제)"/>
      <sheetName val="원료"/>
      <sheetName val="총내역서"/>
      <sheetName val="9-1차이내역"/>
      <sheetName val="WH002 작업 분"/>
      <sheetName val="기준코드표(438)"/>
      <sheetName val="연불"/>
    </sheetNames>
    <sheetDataSet>
      <sheetData sheetId="0" refreshError="1">
        <row r="4">
          <cell r="D4">
            <v>17609</v>
          </cell>
        </row>
        <row r="5">
          <cell r="D5">
            <v>21024</v>
          </cell>
        </row>
        <row r="6">
          <cell r="D6">
            <v>26344</v>
          </cell>
        </row>
        <row r="7">
          <cell r="D7">
            <v>30634</v>
          </cell>
        </row>
        <row r="8">
          <cell r="D8">
            <v>41107</v>
          </cell>
        </row>
        <row r="9">
          <cell r="D9">
            <v>45493</v>
          </cell>
        </row>
        <row r="10">
          <cell r="D10">
            <v>46124</v>
          </cell>
        </row>
        <row r="11">
          <cell r="D11">
            <v>39933</v>
          </cell>
        </row>
        <row r="12">
          <cell r="D12">
            <v>48491</v>
          </cell>
        </row>
        <row r="13">
          <cell r="D13">
            <v>52834</v>
          </cell>
        </row>
        <row r="14">
          <cell r="D14">
            <v>54714</v>
          </cell>
        </row>
        <row r="15">
          <cell r="D15">
            <v>52757</v>
          </cell>
        </row>
        <row r="16">
          <cell r="D16">
            <v>50697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인건비(010330)"/>
      <sheetName val="월간"/>
      <sheetName val="견"/>
      <sheetName val="투자예산"/>
      <sheetName val="산출근거"/>
      <sheetName val="비주거용"/>
      <sheetName val="집계표"/>
      <sheetName val="표지"/>
      <sheetName val="04_도료_전체_하순"/>
      <sheetName val="실적"/>
      <sheetName val="부재예실1월"/>
      <sheetName val="입찰안"/>
      <sheetName val="#REF"/>
      <sheetName val="98년간분기"/>
      <sheetName val="1.취수장"/>
      <sheetName val="단가"/>
      <sheetName val="울산자금"/>
      <sheetName val="금강투자2000"/>
      <sheetName val="설계내역서"/>
      <sheetName val="자금청구"/>
      <sheetName val="機器明細(MC)"/>
      <sheetName val="Sheet4"/>
      <sheetName val="당좌개설보증용"/>
      <sheetName val="신림자금"/>
      <sheetName val="당초"/>
      <sheetName val="GC산출"/>
      <sheetName val="BASE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00실적"/>
      <sheetName val="판촉계획(고정)"/>
      <sheetName val="FG"/>
      <sheetName val="CAUDIT"/>
      <sheetName val="배수통관(좌)"/>
      <sheetName val="공사개요"/>
      <sheetName val="97년"/>
      <sheetName val="수정시산표"/>
      <sheetName val="회사정보"/>
      <sheetName val="요약BS"/>
      <sheetName val="품의서취합"/>
      <sheetName val="총원"/>
      <sheetName val="건설성적"/>
      <sheetName val="세부(종합)"/>
      <sheetName val="2. 2012년 실행계획 수립 및 대상선정용 SHEET."/>
      <sheetName val="Sheet1"/>
      <sheetName val="보통예금"/>
      <sheetName val="당좌차월"/>
      <sheetName val="부서"/>
      <sheetName val="가격표"/>
      <sheetName val="증감내역서"/>
      <sheetName val="민감도"/>
      <sheetName val="관계주식"/>
      <sheetName val="Convert"/>
      <sheetName val="내역서"/>
      <sheetName val="sw1"/>
      <sheetName val="예산실적전체당월"/>
      <sheetName val="배합비(2,3.4분기)"/>
      <sheetName val="부재예실"/>
      <sheetName val="입찰보고"/>
      <sheetName val="본사감가상각대장(비품)"/>
      <sheetName val="세금계산서유"/>
      <sheetName val="Menu_Link"/>
      <sheetName val="퇴충98"/>
      <sheetName val="판매량"/>
      <sheetName val="업종코드"/>
      <sheetName val="임대손익"/>
      <sheetName val="총괄-1"/>
      <sheetName val="콘센트신설"/>
      <sheetName val="118.세금과공과"/>
      <sheetName val="DATA"/>
      <sheetName val="FI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B1:R46"/>
  <sheetViews>
    <sheetView tabSelected="1" workbookViewId="0">
      <selection activeCell="N43" sqref="N43"/>
    </sheetView>
  </sheetViews>
  <sheetFormatPr defaultRowHeight="13.5" x14ac:dyDescent="0.3"/>
  <cols>
    <col min="1" max="1" width="9" style="1"/>
    <col min="2" max="2" width="8.25" style="1" customWidth="1"/>
    <col min="3" max="3" width="9" style="1"/>
    <col min="4" max="4" width="11.75" style="1" customWidth="1"/>
    <col min="5" max="6" width="9" style="1"/>
    <col min="7" max="8" width="10.125" style="1" customWidth="1"/>
    <col min="9" max="9" width="13.625" style="1" customWidth="1"/>
    <col min="10" max="12" width="9" style="1"/>
    <col min="13" max="13" width="11.75" style="1" customWidth="1"/>
    <col min="14" max="16384" width="9" style="1"/>
  </cols>
  <sheetData>
    <row r="1" spans="2:18" ht="15" customHeight="1" x14ac:dyDescent="0.3">
      <c r="B1" s="17" t="s">
        <v>55</v>
      </c>
      <c r="C1" s="17"/>
      <c r="D1" s="17"/>
      <c r="E1" s="17"/>
      <c r="F1" s="17"/>
      <c r="G1" s="17" t="s">
        <v>41</v>
      </c>
      <c r="H1" s="17"/>
      <c r="I1" s="17"/>
      <c r="J1" s="17"/>
      <c r="K1" s="17" t="s">
        <v>59</v>
      </c>
      <c r="L1" s="17"/>
      <c r="M1" s="17"/>
      <c r="N1" s="17"/>
      <c r="O1" s="17" t="s">
        <v>61</v>
      </c>
      <c r="P1" s="17"/>
      <c r="Q1" s="17"/>
      <c r="R1" s="17"/>
    </row>
    <row r="2" spans="2:18" ht="15" customHeight="1" x14ac:dyDescent="0.3">
      <c r="B2" s="17" t="s">
        <v>9</v>
      </c>
      <c r="C2" s="17"/>
      <c r="D2" s="52" t="s">
        <v>14</v>
      </c>
      <c r="E2" s="53"/>
      <c r="F2" s="54"/>
      <c r="G2" s="56">
        <v>1.2</v>
      </c>
      <c r="H2" s="15"/>
      <c r="I2" s="15"/>
      <c r="K2" s="56">
        <v>1.1000000000000001</v>
      </c>
      <c r="L2" s="15"/>
      <c r="M2" s="15"/>
    </row>
    <row r="3" spans="2:18" ht="15" customHeight="1" x14ac:dyDescent="0.3">
      <c r="B3" s="17"/>
      <c r="C3" s="17"/>
      <c r="D3" s="52" t="s">
        <v>49</v>
      </c>
      <c r="E3" s="53"/>
      <c r="F3" s="54"/>
      <c r="G3" s="7">
        <v>0.2</v>
      </c>
      <c r="H3" s="7">
        <v>0.8</v>
      </c>
      <c r="I3" s="13">
        <f>1-G3-H3</f>
        <v>0</v>
      </c>
      <c r="K3" s="7">
        <v>0.4</v>
      </c>
      <c r="L3" s="7">
        <v>0.6</v>
      </c>
      <c r="M3" s="13">
        <f>1-K3-L3</f>
        <v>0</v>
      </c>
    </row>
    <row r="4" spans="2:18" ht="15" customHeight="1" x14ac:dyDescent="0.3">
      <c r="B4" s="17"/>
      <c r="C4" s="17"/>
      <c r="D4" s="57" t="s">
        <v>18</v>
      </c>
      <c r="E4" s="58"/>
      <c r="F4" s="59"/>
      <c r="G4" s="34">
        <f>$F$13*G13+$F$14*G14+$F$15*G15</f>
        <v>1.3049600000000001</v>
      </c>
      <c r="H4" s="34"/>
      <c r="I4" s="34"/>
      <c r="K4" s="34">
        <f>$F$13*K13+$F$14*K14+$F$15*K15</f>
        <v>1.7360200000000001</v>
      </c>
      <c r="L4" s="34"/>
      <c r="M4" s="34"/>
    </row>
    <row r="5" spans="2:18" ht="15" customHeight="1" x14ac:dyDescent="0.3">
      <c r="B5" s="17"/>
      <c r="C5" s="17"/>
      <c r="D5" s="52" t="s">
        <v>50</v>
      </c>
      <c r="E5" s="53"/>
      <c r="F5" s="54"/>
      <c r="G5" s="7">
        <v>1</v>
      </c>
      <c r="H5" s="7">
        <v>0</v>
      </c>
      <c r="I5" s="13">
        <f>1-G5-H5</f>
        <v>0</v>
      </c>
      <c r="K5" s="7">
        <v>1</v>
      </c>
      <c r="L5" s="7">
        <v>0</v>
      </c>
      <c r="M5" s="13">
        <f>1-K5-L5</f>
        <v>0</v>
      </c>
    </row>
    <row r="6" spans="2:18" ht="15" customHeight="1" x14ac:dyDescent="0.3">
      <c r="B6" s="17"/>
      <c r="C6" s="17"/>
      <c r="D6" s="57" t="s">
        <v>19</v>
      </c>
      <c r="E6" s="58"/>
      <c r="F6" s="59"/>
      <c r="G6" s="34">
        <f>G4*G2</f>
        <v>1.565952</v>
      </c>
      <c r="H6" s="34"/>
      <c r="I6" s="34"/>
      <c r="K6" s="34">
        <f>K4*K2</f>
        <v>1.9096220000000004</v>
      </c>
      <c r="L6" s="34"/>
      <c r="M6" s="34"/>
    </row>
    <row r="7" spans="2:18" ht="15" customHeight="1" x14ac:dyDescent="0.3">
      <c r="B7" s="17"/>
      <c r="C7" s="17"/>
      <c r="D7" s="52" t="s">
        <v>56</v>
      </c>
      <c r="E7" s="53"/>
      <c r="F7" s="54"/>
      <c r="G7" s="7">
        <v>800</v>
      </c>
      <c r="H7" s="13"/>
      <c r="I7" s="13"/>
      <c r="K7" s="7">
        <v>800</v>
      </c>
      <c r="L7" s="13"/>
      <c r="M7" s="13"/>
    </row>
    <row r="8" spans="2:18" ht="15" customHeight="1" x14ac:dyDescent="0.3">
      <c r="B8" s="17"/>
      <c r="C8" s="17"/>
      <c r="D8" s="52" t="s">
        <v>47</v>
      </c>
      <c r="E8" s="53"/>
      <c r="F8" s="54"/>
      <c r="G8" s="41">
        <v>0.23</v>
      </c>
      <c r="H8" s="41">
        <v>0.17199999999999999</v>
      </c>
      <c r="I8" s="41">
        <v>0.15</v>
      </c>
      <c r="K8" s="41">
        <v>0.23</v>
      </c>
      <c r="L8" s="41">
        <v>0.17199999999999999</v>
      </c>
      <c r="M8" s="41">
        <v>0.15</v>
      </c>
    </row>
    <row r="9" spans="2:18" ht="15" customHeight="1" x14ac:dyDescent="0.3">
      <c r="B9" s="17"/>
      <c r="C9" s="17"/>
      <c r="D9" s="52" t="s">
        <v>52</v>
      </c>
      <c r="E9" s="53"/>
      <c r="F9" s="54"/>
      <c r="G9" s="41">
        <v>0.187</v>
      </c>
      <c r="H9" s="41">
        <v>0.14699999999999999</v>
      </c>
      <c r="I9" s="13"/>
      <c r="K9" s="41">
        <v>0.187</v>
      </c>
      <c r="L9" s="41">
        <v>0.14699999999999999</v>
      </c>
      <c r="M9" s="13"/>
    </row>
    <row r="10" spans="2:18" ht="15" customHeight="1" x14ac:dyDescent="0.3">
      <c r="B10" s="17"/>
      <c r="C10" s="17"/>
      <c r="D10" s="52" t="s">
        <v>48</v>
      </c>
      <c r="E10" s="53"/>
      <c r="F10" s="54"/>
      <c r="G10" s="7">
        <v>1000</v>
      </c>
      <c r="H10" s="13"/>
      <c r="I10" s="13"/>
      <c r="K10" s="7">
        <v>1000</v>
      </c>
      <c r="L10" s="13"/>
      <c r="M10" s="13"/>
    </row>
    <row r="11" spans="2:18" ht="15" customHeight="1" x14ac:dyDescent="0.3">
      <c r="B11" s="17"/>
      <c r="C11" s="17"/>
      <c r="D11" s="52" t="s">
        <v>51</v>
      </c>
      <c r="E11" s="53"/>
      <c r="F11" s="54"/>
      <c r="G11" s="50">
        <f>SUM(G13:G18)/G27</f>
        <v>0.12791828266181401</v>
      </c>
      <c r="H11" s="50">
        <f>(G21+G25)/G27</f>
        <v>0.14698119601244869</v>
      </c>
      <c r="I11" s="50">
        <f>(G20+G23+G24)/G27</f>
        <v>0.72487026841694602</v>
      </c>
      <c r="K11" s="50">
        <f>SUM(K13:K18)/K27</f>
        <v>0.12791828266181401</v>
      </c>
      <c r="L11" s="50">
        <f>(K21+K25)/K27</f>
        <v>0.14698119601244872</v>
      </c>
      <c r="M11" s="50">
        <f>(K20+K23+K24)/K27</f>
        <v>0.72487026841694602</v>
      </c>
    </row>
    <row r="12" spans="2:18" ht="27" x14ac:dyDescent="0.3">
      <c r="B12" s="13" t="s">
        <v>10</v>
      </c>
      <c r="C12" s="13" t="s">
        <v>6</v>
      </c>
      <c r="D12" s="13" t="s">
        <v>57</v>
      </c>
      <c r="E12" s="13" t="s">
        <v>12</v>
      </c>
      <c r="F12" s="9" t="s">
        <v>13</v>
      </c>
      <c r="G12" s="13" t="s">
        <v>53</v>
      </c>
      <c r="H12" s="13" t="s">
        <v>54</v>
      </c>
      <c r="I12" s="47">
        <v>50</v>
      </c>
      <c r="K12" s="13" t="s">
        <v>53</v>
      </c>
      <c r="L12" s="13" t="s">
        <v>54</v>
      </c>
      <c r="M12" s="47">
        <v>40</v>
      </c>
    </row>
    <row r="13" spans="2:18" s="5" customFormat="1" ht="15" customHeight="1" x14ac:dyDescent="0.3">
      <c r="B13" s="21" t="s">
        <v>34</v>
      </c>
      <c r="C13" s="51" t="s">
        <v>8</v>
      </c>
      <c r="D13" s="7" t="s">
        <v>24</v>
      </c>
      <c r="E13" s="7" t="s">
        <v>3</v>
      </c>
      <c r="F13" s="7">
        <v>3.0291999999999999</v>
      </c>
      <c r="G13" s="42">
        <f>G3</f>
        <v>0.2</v>
      </c>
      <c r="H13" s="42">
        <f>G13*$H$27/$G$27</f>
        <v>0.94679881227689744</v>
      </c>
      <c r="I13" s="44">
        <f>G13*$I$12</f>
        <v>10</v>
      </c>
      <c r="K13" s="42">
        <f>K3</f>
        <v>0.4</v>
      </c>
      <c r="L13" s="42">
        <f>K13*$H$27/$G$27</f>
        <v>1.8935976245537949</v>
      </c>
      <c r="M13" s="44">
        <f>K13*$M$12</f>
        <v>16</v>
      </c>
    </row>
    <row r="14" spans="2:18" s="5" customFormat="1" ht="15" customHeight="1" x14ac:dyDescent="0.3">
      <c r="B14" s="22"/>
      <c r="C14" s="51"/>
      <c r="D14" s="7" t="s">
        <v>25</v>
      </c>
      <c r="E14" s="7" t="s">
        <v>4</v>
      </c>
      <c r="F14" s="7">
        <v>0.87390000000000001</v>
      </c>
      <c r="G14" s="42">
        <f>H3</f>
        <v>0.8</v>
      </c>
      <c r="H14" s="42">
        <f>G14*$H$27/$G$27</f>
        <v>3.7871952491075898</v>
      </c>
      <c r="I14" s="44">
        <f>G14*$I$12</f>
        <v>40</v>
      </c>
      <c r="K14" s="42">
        <f>L3</f>
        <v>0.6</v>
      </c>
      <c r="L14" s="42">
        <f>K14*$H$27/$G$27</f>
        <v>2.8403964368306922</v>
      </c>
      <c r="M14" s="44">
        <f t="shared" ref="M14:M21" si="0">K14*$M$12</f>
        <v>24</v>
      </c>
    </row>
    <row r="15" spans="2:18" s="5" customFormat="1" ht="15" customHeight="1" x14ac:dyDescent="0.3">
      <c r="B15" s="22"/>
      <c r="C15" s="51"/>
      <c r="D15" s="7" t="s">
        <v>26</v>
      </c>
      <c r="E15" s="7" t="s">
        <v>5</v>
      </c>
      <c r="F15" s="7">
        <v>0.11</v>
      </c>
      <c r="G15" s="42">
        <f>I3</f>
        <v>0</v>
      </c>
      <c r="H15" s="42">
        <f>G15*$H$27/$G$27</f>
        <v>0</v>
      </c>
      <c r="I15" s="44">
        <f>G15*$I$12</f>
        <v>0</v>
      </c>
      <c r="K15" s="42">
        <f>M3</f>
        <v>0</v>
      </c>
      <c r="L15" s="42">
        <f>K15*$H$27/$G$27</f>
        <v>0</v>
      </c>
      <c r="M15" s="44">
        <f t="shared" si="0"/>
        <v>0</v>
      </c>
    </row>
    <row r="16" spans="2:18" ht="15" customHeight="1" x14ac:dyDescent="0.3">
      <c r="B16" s="22"/>
      <c r="C16" s="17" t="s">
        <v>16</v>
      </c>
      <c r="D16" s="7" t="s">
        <v>27</v>
      </c>
      <c r="E16" s="7"/>
      <c r="F16" s="7">
        <v>0.92</v>
      </c>
      <c r="G16" s="43">
        <f>G5*G6/$F$16</f>
        <v>1.7021217391304346</v>
      </c>
      <c r="H16" s="42">
        <f>G16*$H$27/$G$27</f>
        <v>8.0578342047969134</v>
      </c>
      <c r="I16" s="44">
        <f>G16*$I$12</f>
        <v>85.106086956521736</v>
      </c>
      <c r="K16" s="43">
        <f>K5*K6/$F$16</f>
        <v>2.0756760869565221</v>
      </c>
      <c r="L16" s="42">
        <f>K16*$H$27/$G$27</f>
        <v>9.8262382690099663</v>
      </c>
      <c r="M16" s="44">
        <f t="shared" si="0"/>
        <v>83.027043478260879</v>
      </c>
    </row>
    <row r="17" spans="2:14" ht="15" customHeight="1" x14ac:dyDescent="0.3">
      <c r="B17" s="22"/>
      <c r="C17" s="17"/>
      <c r="D17" s="7" t="s">
        <v>30</v>
      </c>
      <c r="E17" s="7" t="s">
        <v>0</v>
      </c>
      <c r="F17" s="7">
        <v>0.4</v>
      </c>
      <c r="G17" s="43">
        <f>H5*G6/$F$17</f>
        <v>0</v>
      </c>
      <c r="H17" s="42">
        <f>G17*$H$27/$G$27</f>
        <v>0</v>
      </c>
      <c r="I17" s="44">
        <f>G17*$I$12</f>
        <v>0</v>
      </c>
      <c r="K17" s="43">
        <f>L5*K6/$F$17</f>
        <v>0</v>
      </c>
      <c r="L17" s="42">
        <f>K17*$H$27/$G$27</f>
        <v>0</v>
      </c>
      <c r="M17" s="44">
        <f t="shared" si="0"/>
        <v>0</v>
      </c>
    </row>
    <row r="18" spans="2:14" ht="15" customHeight="1" x14ac:dyDescent="0.3">
      <c r="B18" s="22"/>
      <c r="C18" s="17"/>
      <c r="D18" s="7" t="s">
        <v>31</v>
      </c>
      <c r="E18" s="7"/>
      <c r="F18" s="7">
        <v>1.2</v>
      </c>
      <c r="G18" s="43">
        <f>I5*G6/$F$18</f>
        <v>0</v>
      </c>
      <c r="H18" s="42">
        <f>G18*$H$27/$G$27</f>
        <v>0</v>
      </c>
      <c r="I18" s="44">
        <f>G18*$I$12</f>
        <v>0</v>
      </c>
      <c r="K18" s="43">
        <f>M5*K6/$F$18</f>
        <v>0</v>
      </c>
      <c r="L18" s="42">
        <f>K18*$H$27/$G$27</f>
        <v>0</v>
      </c>
      <c r="M18" s="44">
        <f t="shared" si="0"/>
        <v>0</v>
      </c>
    </row>
    <row r="19" spans="2:14" ht="15" customHeight="1" x14ac:dyDescent="0.3">
      <c r="B19" s="22"/>
      <c r="C19" s="13" t="s">
        <v>20</v>
      </c>
      <c r="D19" s="7" t="s">
        <v>1</v>
      </c>
      <c r="E19" s="7" t="s">
        <v>2</v>
      </c>
      <c r="F19" s="6"/>
      <c r="G19" s="46">
        <f>(SUM(G13:G18))*(G7/1000000)</f>
        <v>2.1616973913043476E-3</v>
      </c>
      <c r="H19" s="42">
        <f>G19*$H$27/$G$27</f>
        <v>1.023346261294512E-2</v>
      </c>
      <c r="I19" s="44">
        <f>G19*$I$12</f>
        <v>0.10808486956521739</v>
      </c>
      <c r="K19" s="46">
        <f>(SUM(K13:K18))*(K7/1000000)</f>
        <v>2.4605408695652178E-3</v>
      </c>
      <c r="L19" s="42">
        <f>K19*$H$27/$G$27</f>
        <v>1.1648185864315564E-2</v>
      </c>
      <c r="M19" s="44">
        <f t="shared" si="0"/>
        <v>9.8421634782608708E-2</v>
      </c>
    </row>
    <row r="20" spans="2:14" ht="15" customHeight="1" x14ac:dyDescent="0.3">
      <c r="B20" s="22"/>
      <c r="C20" s="13" t="s">
        <v>23</v>
      </c>
      <c r="D20" s="7" t="s">
        <v>29</v>
      </c>
      <c r="E20" s="7"/>
      <c r="F20" s="13"/>
      <c r="G20" s="43">
        <f>((1-G8)*SUM(G13:G18)/G8)</f>
        <v>9.0462336483931942</v>
      </c>
      <c r="H20" s="42">
        <f>G20*$H$27/$G$27</f>
        <v>42.824816369389907</v>
      </c>
      <c r="I20" s="44">
        <f>G20*$I$12</f>
        <v>452.31168241965969</v>
      </c>
      <c r="K20" s="43">
        <f>((1-K8)*SUM(K13:K18)/K8)</f>
        <v>10.296828638941399</v>
      </c>
      <c r="L20" s="42">
        <f>K20*$H$27/$G$27</f>
        <v>48.745125627842299</v>
      </c>
      <c r="M20" s="44">
        <f t="shared" si="0"/>
        <v>411.87314555765596</v>
      </c>
    </row>
    <row r="21" spans="2:14" ht="15" customHeight="1" x14ac:dyDescent="0.3">
      <c r="B21" s="22"/>
      <c r="C21" s="13" t="s">
        <v>43</v>
      </c>
      <c r="D21" s="7" t="s">
        <v>44</v>
      </c>
      <c r="E21" s="7"/>
      <c r="F21" s="13"/>
      <c r="G21" s="43">
        <f>SUM(G13:G20)*G9/(1-G9)</f>
        <v>2.7027634623359074</v>
      </c>
      <c r="H21" s="42">
        <f>G21*$H$27/$G$27</f>
        <v>12.794866180025162</v>
      </c>
      <c r="I21" s="44">
        <f>G21*$I$12</f>
        <v>135.13817311679537</v>
      </c>
      <c r="K21" s="43">
        <f>SUM(K13:K20)*K9/(1-K9)</f>
        <v>3.0764065250744403</v>
      </c>
      <c r="L21" s="42">
        <f>K21*$H$27/$G$27</f>
        <v>14.563690220106887</v>
      </c>
      <c r="M21" s="44">
        <f t="shared" si="0"/>
        <v>123.05626100297761</v>
      </c>
    </row>
    <row r="22" spans="2:14" ht="15" customHeight="1" x14ac:dyDescent="0.3">
      <c r="B22" s="23"/>
      <c r="C22" s="17" t="s">
        <v>40</v>
      </c>
      <c r="D22" s="17"/>
      <c r="E22" s="17"/>
      <c r="F22" s="17"/>
      <c r="G22" s="43">
        <f>SUM(G13:G21)</f>
        <v>14.45328054725084</v>
      </c>
      <c r="H22" s="43">
        <f t="shared" ref="H22:I22" si="1">SUM(H13:H21)</f>
        <v>68.421744278209417</v>
      </c>
      <c r="I22" s="43">
        <f t="shared" si="1"/>
        <v>722.6640273625419</v>
      </c>
      <c r="J22" s="13">
        <v>100</v>
      </c>
      <c r="K22" s="43">
        <f>SUM(K13:K21)</f>
        <v>16.451371791841925</v>
      </c>
      <c r="L22" s="43">
        <f t="shared" ref="L22" si="2">SUM(L13:L21)</f>
        <v>77.88069636420795</v>
      </c>
      <c r="M22" s="43">
        <f t="shared" ref="M22" si="3">SUM(M13:M21)</f>
        <v>658.0548716736771</v>
      </c>
      <c r="N22" s="13">
        <v>100</v>
      </c>
    </row>
    <row r="23" spans="2:14" ht="15" customHeight="1" x14ac:dyDescent="0.3">
      <c r="B23" s="21" t="s">
        <v>35</v>
      </c>
      <c r="C23" s="13" t="s">
        <v>23</v>
      </c>
      <c r="D23" s="7" t="s">
        <v>29</v>
      </c>
      <c r="E23" s="7"/>
      <c r="F23" s="13"/>
      <c r="G23" s="43">
        <f>((1-H8)*SUM(G13:G18)-H8*(G20))/H8</f>
        <v>3.961654723699831</v>
      </c>
      <c r="H23" s="42">
        <f>G23*$H$27/$G$27</f>
        <v>18.754449935250801</v>
      </c>
      <c r="I23" s="44">
        <f>G23*$I$12</f>
        <v>198.08273618499155</v>
      </c>
      <c r="J23" s="43">
        <f>I23*$J$22/$I$22</f>
        <v>27.410072825669868</v>
      </c>
      <c r="K23" s="43">
        <f>((1-L8)*SUM(K13:K18)-L8*(K20))/L8</f>
        <v>4.509332988965582</v>
      </c>
      <c r="L23" s="42">
        <f>K23*$H$27/$G$27</f>
        <v>21.347155590568224</v>
      </c>
      <c r="M23" s="44">
        <f>K23*$M$12</f>
        <v>180.37331955862328</v>
      </c>
      <c r="N23" s="43">
        <f>M23*$J$22/$I$22</f>
        <v>24.959498844424232</v>
      </c>
    </row>
    <row r="24" spans="2:14" ht="15" customHeight="1" x14ac:dyDescent="0.3">
      <c r="B24" s="22"/>
      <c r="C24" s="13" t="s">
        <v>23</v>
      </c>
      <c r="D24" s="7" t="s">
        <v>29</v>
      </c>
      <c r="E24" s="7"/>
      <c r="F24" s="13"/>
      <c r="G24" s="43">
        <f>((1-I8)*SUM(G13:G18)-I8*(G23+G20))/I8</f>
        <v>2.3041348163127724</v>
      </c>
      <c r="H24" s="42">
        <f>G24*$H$27/$G$27</f>
        <v>10.907760537053901</v>
      </c>
      <c r="I24" s="44">
        <f>G24*$I$12</f>
        <v>115.20674081563863</v>
      </c>
      <c r="J24" s="43">
        <f t="shared" ref="J24:J26" si="4">I24*$J$22/$I$22</f>
        <v>15.941950402056248</v>
      </c>
      <c r="K24" s="43">
        <f>((1-M8)*SUM(K13:K18)-M8*(K23+K20))/M8</f>
        <v>2.6226695315133095</v>
      </c>
      <c r="L24" s="42">
        <f>K24*$H$27/$G$27</f>
        <v>12.415701987158043</v>
      </c>
      <c r="M24" s="44">
        <f t="shared" ref="M24:M26" si="5">K24*$M$12</f>
        <v>104.90678126053238</v>
      </c>
      <c r="N24" s="43">
        <f t="shared" ref="N24:N26" si="6">M24*$J$22/$I$22</f>
        <v>14.516674040550155</v>
      </c>
    </row>
    <row r="25" spans="2:14" ht="15" customHeight="1" x14ac:dyDescent="0.3">
      <c r="B25" s="22"/>
      <c r="C25" s="13" t="s">
        <v>43</v>
      </c>
      <c r="D25" s="7" t="s">
        <v>44</v>
      </c>
      <c r="E25" s="7"/>
      <c r="F25" s="13"/>
      <c r="G25" s="43">
        <f>(SUM(G13:G20)+G23+G24)*H9/(1-H9)-G21</f>
        <v>0.40203967232335103</v>
      </c>
      <c r="H25" s="42">
        <f>G25*$H$27/$G$27</f>
        <v>1.903253421219709</v>
      </c>
      <c r="I25" s="44">
        <f>G25*$I$12</f>
        <v>20.101983616167551</v>
      </c>
      <c r="J25" s="43">
        <f t="shared" si="4"/>
        <v>2.7816499583537322</v>
      </c>
      <c r="K25" s="43">
        <f>(SUM(K13:K20)+K23+K24)*L9/(1-L9)-K21</f>
        <v>0.45761957659638908</v>
      </c>
      <c r="L25" s="42">
        <f>K25*$H$27/$G$27</f>
        <v>2.1663683579805895</v>
      </c>
      <c r="M25" s="44">
        <f t="shared" si="5"/>
        <v>18.304783063855563</v>
      </c>
      <c r="N25" s="43">
        <f t="shared" si="6"/>
        <v>2.5329589367636429</v>
      </c>
    </row>
    <row r="26" spans="2:14" ht="15" customHeight="1" x14ac:dyDescent="0.3">
      <c r="B26" s="22"/>
      <c r="C26" s="13" t="s">
        <v>36</v>
      </c>
      <c r="D26" s="7" t="s">
        <v>37</v>
      </c>
      <c r="E26" s="7"/>
      <c r="F26" s="13"/>
      <c r="G26" s="45">
        <f>G10*SUM(G13:G18)/1000000</f>
        <v>2.7021217391304344E-3</v>
      </c>
      <c r="H26" s="42">
        <f>G26*$H$27/$G$27</f>
        <v>1.2791828266181398E-2</v>
      </c>
      <c r="I26" s="44">
        <f>G26*$I$12</f>
        <v>0.13510608695652171</v>
      </c>
      <c r="J26" s="43">
        <f t="shared" si="4"/>
        <v>1.869556001695688E-2</v>
      </c>
      <c r="K26" s="45">
        <f>K10*SUM(K13:K18)/1000000</f>
        <v>3.0756760869565217E-3</v>
      </c>
      <c r="L26" s="42">
        <f>K26*$H$27/$G$27</f>
        <v>1.4560232330394452E-2</v>
      </c>
      <c r="M26" s="44">
        <f t="shared" si="5"/>
        <v>0.12302704347826086</v>
      </c>
      <c r="N26" s="43">
        <f t="shared" si="6"/>
        <v>1.7024099556645203E-2</v>
      </c>
    </row>
    <row r="27" spans="2:14" ht="15" customHeight="1" x14ac:dyDescent="0.3">
      <c r="B27" s="23"/>
      <c r="C27" s="17" t="s">
        <v>40</v>
      </c>
      <c r="D27" s="17"/>
      <c r="E27" s="17"/>
      <c r="F27" s="17"/>
      <c r="G27" s="43">
        <f>SUM(G23:G26)+G22</f>
        <v>21.123811881325924</v>
      </c>
      <c r="H27" s="13">
        <v>100</v>
      </c>
      <c r="I27" s="45">
        <f>SUM(I13:I26)-I22</f>
        <v>1056.1905940662959</v>
      </c>
      <c r="K27" s="43">
        <f>SUM(K23:K26)+K22</f>
        <v>24.044069565004165</v>
      </c>
      <c r="L27" s="13">
        <v>100</v>
      </c>
      <c r="M27" s="45">
        <f>SUM(M13:M26)-M22</f>
        <v>961.7627826001667</v>
      </c>
    </row>
    <row r="28" spans="2:14" ht="15" customHeight="1" x14ac:dyDescent="0.3"/>
    <row r="29" spans="2:14" ht="15" customHeight="1" x14ac:dyDescent="0.3">
      <c r="B29" s="24" t="s">
        <v>89</v>
      </c>
      <c r="C29" s="25"/>
      <c r="D29" s="25"/>
      <c r="E29" s="26"/>
      <c r="F29" s="61" t="s">
        <v>64</v>
      </c>
      <c r="G29" s="62">
        <v>1</v>
      </c>
      <c r="K29" s="60">
        <v>2</v>
      </c>
    </row>
    <row r="30" spans="2:14" ht="15" customHeight="1" x14ac:dyDescent="0.3">
      <c r="B30" s="55"/>
      <c r="C30" s="48"/>
      <c r="D30" s="48"/>
      <c r="E30" s="49"/>
      <c r="F30" s="61" t="s">
        <v>91</v>
      </c>
      <c r="G30" s="62" t="s">
        <v>92</v>
      </c>
      <c r="K30" s="60"/>
    </row>
    <row r="31" spans="2:14" ht="15" customHeight="1" x14ac:dyDescent="0.3">
      <c r="B31" s="55"/>
      <c r="C31" s="48"/>
      <c r="D31" s="48"/>
      <c r="E31" s="49"/>
      <c r="F31" s="61" t="s">
        <v>93</v>
      </c>
      <c r="G31" s="62" t="s">
        <v>94</v>
      </c>
      <c r="K31" s="60"/>
    </row>
    <row r="32" spans="2:14" ht="15" customHeight="1" x14ac:dyDescent="0.3">
      <c r="B32" s="55"/>
      <c r="C32" s="48"/>
      <c r="D32" s="48"/>
      <c r="E32" s="49"/>
      <c r="F32" s="61"/>
      <c r="G32" s="62"/>
      <c r="K32" s="60"/>
    </row>
    <row r="33" spans="2:11" ht="15" customHeight="1" x14ac:dyDescent="0.3">
      <c r="B33" s="72"/>
      <c r="C33" s="73"/>
      <c r="D33" s="73"/>
      <c r="E33" s="74"/>
      <c r="F33" s="61"/>
      <c r="G33" s="62"/>
      <c r="K33" s="60"/>
    </row>
    <row r="34" spans="2:11" ht="15" customHeight="1" x14ac:dyDescent="0.3"/>
    <row r="35" spans="2:11" ht="15" customHeight="1" x14ac:dyDescent="0.3">
      <c r="B35" s="24" t="s">
        <v>73</v>
      </c>
      <c r="C35" s="25"/>
      <c r="D35" s="25"/>
      <c r="E35" s="26"/>
      <c r="F35" s="61" t="s">
        <v>65</v>
      </c>
      <c r="G35" s="62" t="s">
        <v>70</v>
      </c>
      <c r="K35" s="60"/>
    </row>
    <row r="36" spans="2:11" ht="15" customHeight="1" x14ac:dyDescent="0.3">
      <c r="B36" s="55"/>
      <c r="C36" s="48"/>
      <c r="D36" s="48"/>
      <c r="E36" s="49"/>
      <c r="F36" s="61" t="s">
        <v>66</v>
      </c>
      <c r="G36" s="62">
        <v>130000</v>
      </c>
      <c r="K36" s="60"/>
    </row>
    <row r="37" spans="2:11" ht="15" customHeight="1" x14ac:dyDescent="0.3">
      <c r="B37" s="55"/>
      <c r="C37" s="48"/>
      <c r="D37" s="48"/>
      <c r="E37" s="49"/>
      <c r="F37" s="61" t="s">
        <v>67</v>
      </c>
      <c r="G37" s="62" t="s">
        <v>71</v>
      </c>
      <c r="K37" s="60"/>
    </row>
    <row r="38" spans="2:11" ht="15" customHeight="1" x14ac:dyDescent="0.3">
      <c r="B38" s="55"/>
      <c r="C38" s="48"/>
      <c r="D38" s="48"/>
      <c r="E38" s="49"/>
      <c r="F38" s="61" t="s">
        <v>62</v>
      </c>
      <c r="G38" s="62">
        <v>10.1</v>
      </c>
      <c r="K38" s="60"/>
    </row>
    <row r="39" spans="2:11" ht="15" customHeight="1" x14ac:dyDescent="0.3">
      <c r="B39" s="55"/>
      <c r="C39" s="48"/>
      <c r="D39" s="48"/>
      <c r="E39" s="49"/>
      <c r="F39" s="61" t="s">
        <v>63</v>
      </c>
      <c r="G39" s="62"/>
      <c r="K39" s="60"/>
    </row>
    <row r="40" spans="2:11" ht="15" customHeight="1" x14ac:dyDescent="0.3">
      <c r="B40" s="55"/>
      <c r="C40" s="48"/>
      <c r="D40" s="48"/>
      <c r="E40" s="49"/>
      <c r="F40" s="61" t="s">
        <v>68</v>
      </c>
      <c r="G40" s="62" t="s">
        <v>72</v>
      </c>
      <c r="K40" s="60"/>
    </row>
    <row r="41" spans="2:11" ht="15" customHeight="1" x14ac:dyDescent="0.3">
      <c r="B41" s="55"/>
      <c r="C41" s="48"/>
      <c r="D41" s="48"/>
      <c r="E41" s="49"/>
      <c r="F41" s="61" t="s">
        <v>74</v>
      </c>
      <c r="G41" s="62"/>
      <c r="K41" s="60"/>
    </row>
    <row r="42" spans="2:11" ht="15" customHeight="1" x14ac:dyDescent="0.3">
      <c r="B42" s="72"/>
      <c r="C42" s="73"/>
      <c r="D42" s="73"/>
      <c r="E42" s="74"/>
      <c r="F42" s="61" t="s">
        <v>69</v>
      </c>
      <c r="G42" s="62"/>
      <c r="K42" s="60"/>
    </row>
    <row r="43" spans="2:11" ht="15" customHeight="1" x14ac:dyDescent="0.3"/>
    <row r="44" spans="2:11" ht="15" customHeight="1" x14ac:dyDescent="0.3"/>
    <row r="45" spans="2:11" ht="15" customHeight="1" x14ac:dyDescent="0.3"/>
    <row r="46" spans="2:11" ht="15" customHeight="1" x14ac:dyDescent="0.3"/>
  </sheetData>
  <mergeCells count="23">
    <mergeCell ref="K1:N1"/>
    <mergeCell ref="O1:R1"/>
    <mergeCell ref="D4:F4"/>
    <mergeCell ref="D6:F6"/>
    <mergeCell ref="B35:E42"/>
    <mergeCell ref="B29:E33"/>
    <mergeCell ref="D10:F10"/>
    <mergeCell ref="D11:F11"/>
    <mergeCell ref="B13:B22"/>
    <mergeCell ref="B23:B27"/>
    <mergeCell ref="G1:J1"/>
    <mergeCell ref="C22:F22"/>
    <mergeCell ref="C27:F27"/>
    <mergeCell ref="C13:C15"/>
    <mergeCell ref="C16:C18"/>
    <mergeCell ref="B2:C11"/>
    <mergeCell ref="B1:F1"/>
    <mergeCell ref="D2:F2"/>
    <mergeCell ref="D3:F3"/>
    <mergeCell ref="D5:F5"/>
    <mergeCell ref="D7:F7"/>
    <mergeCell ref="D8:F8"/>
    <mergeCell ref="D9:F9"/>
  </mergeCells>
  <phoneticPr fontId="3" type="noConversion"/>
  <pageMargins left="0.25" right="0.25" top="0.75" bottom="0.75" header="0.3" footer="0.3"/>
  <pageSetup paperSize="9" scale="7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  <pageSetUpPr fitToPage="1"/>
  </sheetPr>
  <dimension ref="B2:AE8"/>
  <sheetViews>
    <sheetView workbookViewId="0">
      <selection activeCell="P30" sqref="P30"/>
    </sheetView>
  </sheetViews>
  <sheetFormatPr defaultRowHeight="13.5" x14ac:dyDescent="0.3"/>
  <cols>
    <col min="1" max="1" width="2.25" style="1" customWidth="1"/>
    <col min="2" max="2" width="9.25" style="1" customWidth="1"/>
    <col min="3" max="3" width="12.375" style="1" customWidth="1"/>
    <col min="4" max="11" width="6.875" style="1" customWidth="1"/>
    <col min="12" max="16384" width="9" style="1"/>
  </cols>
  <sheetData>
    <row r="2" spans="2:31" s="68" customFormat="1" ht="16.5" customHeight="1" x14ac:dyDescent="0.3">
      <c r="B2" s="67" t="s">
        <v>76</v>
      </c>
      <c r="C2" s="64" t="s">
        <v>86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4" t="s">
        <v>90</v>
      </c>
      <c r="S2" s="65"/>
      <c r="T2" s="65"/>
      <c r="U2" s="65"/>
      <c r="V2" s="66"/>
      <c r="W2" s="64" t="s">
        <v>87</v>
      </c>
      <c r="X2" s="65"/>
      <c r="Y2" s="65"/>
      <c r="Z2" s="65"/>
      <c r="AA2" s="65"/>
      <c r="AB2" s="65"/>
      <c r="AC2" s="65"/>
      <c r="AD2" s="65"/>
      <c r="AE2" s="66"/>
    </row>
    <row r="3" spans="2:31" s="68" customFormat="1" ht="16.5" customHeight="1" x14ac:dyDescent="0.3">
      <c r="B3" s="71"/>
      <c r="C3" s="67" t="s">
        <v>78</v>
      </c>
      <c r="D3" s="63" t="s">
        <v>75</v>
      </c>
      <c r="E3" s="63"/>
      <c r="F3" s="63"/>
      <c r="G3" s="63"/>
      <c r="H3" s="64" t="s">
        <v>79</v>
      </c>
      <c r="I3" s="65"/>
      <c r="J3" s="65"/>
      <c r="K3" s="66"/>
      <c r="L3" s="67" t="s">
        <v>80</v>
      </c>
      <c r="M3" s="67" t="s">
        <v>81</v>
      </c>
      <c r="N3" s="67" t="s">
        <v>82</v>
      </c>
      <c r="O3" s="67" t="s">
        <v>83</v>
      </c>
      <c r="P3" s="67" t="s">
        <v>84</v>
      </c>
      <c r="Q3" s="67" t="s">
        <v>85</v>
      </c>
      <c r="R3" s="67" t="str">
        <f>일반!F29</f>
        <v>3롤작업 횟수</v>
      </c>
      <c r="S3" s="67" t="str">
        <f>일반!F30</f>
        <v>겔도달시간</v>
      </c>
      <c r="T3" s="67" t="str">
        <f>일반!F31</f>
        <v>1차 반응온도</v>
      </c>
      <c r="U3" s="67">
        <f>일반!F32</f>
        <v>0</v>
      </c>
      <c r="V3" s="67">
        <f>일반!F33</f>
        <v>0</v>
      </c>
      <c r="W3" s="67" t="str">
        <f>일반!F35</f>
        <v>외관</v>
      </c>
      <c r="X3" s="67" t="str">
        <f>일반!F36</f>
        <v>점도</v>
      </c>
      <c r="Y3" s="67" t="str">
        <f>일반!F37</f>
        <v>색상</v>
      </c>
      <c r="Z3" s="67" t="str">
        <f>일반!F38</f>
        <v>휘발분</v>
      </c>
      <c r="AA3" s="67" t="str">
        <f>일반!F39</f>
        <v>비휘발분</v>
      </c>
      <c r="AB3" s="67" t="str">
        <f>일반!F40</f>
        <v>사용감</v>
      </c>
      <c r="AC3" s="67" t="str">
        <f>일반!F41</f>
        <v>저장성</v>
      </c>
      <c r="AD3" s="67" t="str">
        <f>일반!F42</f>
        <v>비고</v>
      </c>
      <c r="AE3" s="67">
        <f>일반!F44</f>
        <v>0</v>
      </c>
    </row>
    <row r="4" spans="2:31" s="68" customFormat="1" x14ac:dyDescent="0.3">
      <c r="B4" s="69"/>
      <c r="C4" s="69"/>
      <c r="D4" s="9" t="str">
        <f>일반!D13</f>
        <v>H1</v>
      </c>
      <c r="E4" s="9" t="str">
        <f>일반!D14</f>
        <v>H2</v>
      </c>
      <c r="F4" s="9" t="str">
        <f>일반!D15</f>
        <v>H3</v>
      </c>
      <c r="G4" s="9"/>
      <c r="H4" s="9" t="str">
        <f>일반!D16</f>
        <v>V1</v>
      </c>
      <c r="I4" s="9" t="str">
        <f>일반!D17</f>
        <v>V2</v>
      </c>
      <c r="J4" s="9" t="str">
        <f>일반!D18</f>
        <v>V3</v>
      </c>
      <c r="K4" s="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</row>
    <row r="5" spans="2:31" ht="40.5" x14ac:dyDescent="0.3">
      <c r="B5" s="13" t="s">
        <v>77</v>
      </c>
      <c r="C5" s="13">
        <f>일반!G2</f>
        <v>1.2</v>
      </c>
      <c r="D5" s="13">
        <f>일반!G3</f>
        <v>0.2</v>
      </c>
      <c r="E5" s="13">
        <f>일반!H3</f>
        <v>0.8</v>
      </c>
      <c r="F5" s="13">
        <f>일반!I3</f>
        <v>0</v>
      </c>
      <c r="G5" s="13"/>
      <c r="H5" s="13">
        <f>일반!G5</f>
        <v>1</v>
      </c>
      <c r="I5" s="13">
        <f>일반!H5</f>
        <v>0</v>
      </c>
      <c r="J5" s="13">
        <f>일반!I5</f>
        <v>0</v>
      </c>
      <c r="K5" s="13"/>
      <c r="L5" s="13">
        <f>일반!G7</f>
        <v>800</v>
      </c>
      <c r="M5" s="70">
        <f>일반!G8</f>
        <v>0.23</v>
      </c>
      <c r="N5" s="70">
        <f>일반!G11</f>
        <v>0.12791828266181401</v>
      </c>
      <c r="O5" s="70">
        <f>일반!H11</f>
        <v>0.14698119601244869</v>
      </c>
      <c r="P5" s="70">
        <f>일반!I11</f>
        <v>0.72487026841694602</v>
      </c>
      <c r="Q5" s="13">
        <f>일반!G10</f>
        <v>1000</v>
      </c>
      <c r="R5" s="9">
        <f>일반!G29</f>
        <v>1</v>
      </c>
      <c r="S5" s="9" t="str">
        <f>일반!G30</f>
        <v>30분</v>
      </c>
      <c r="T5" s="9" t="str">
        <f>일반!G31</f>
        <v>90℃</v>
      </c>
      <c r="U5" s="9">
        <f>일반!G32</f>
        <v>0</v>
      </c>
      <c r="V5" s="9">
        <f>일반!G33</f>
        <v>0</v>
      </c>
      <c r="W5" s="9" t="str">
        <f>일반!G35</f>
        <v>양호</v>
      </c>
      <c r="X5" s="9">
        <f>일반!G36</f>
        <v>130000</v>
      </c>
      <c r="Y5" s="9" t="str">
        <f>일반!G37</f>
        <v>연한노랑</v>
      </c>
      <c r="Z5" s="9">
        <f>일반!G38</f>
        <v>10.1</v>
      </c>
      <c r="AA5" s="9">
        <f>일반!G39</f>
        <v>0</v>
      </c>
      <c r="AB5" s="9" t="str">
        <f>일반!G40</f>
        <v>매우 부드럽고 실키함</v>
      </c>
      <c r="AC5" s="9">
        <f>일반!G41</f>
        <v>0</v>
      </c>
      <c r="AD5" s="9">
        <f>일반!G42</f>
        <v>0</v>
      </c>
      <c r="AE5" s="13"/>
    </row>
    <row r="6" spans="2:31" x14ac:dyDescent="0.3">
      <c r="B6" s="13" t="s">
        <v>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spans="2:31" x14ac:dyDescent="0.3">
      <c r="B7" s="13" t="s">
        <v>60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2:31" x14ac:dyDescent="0.3">
      <c r="B8" s="13" t="s">
        <v>88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</sheetData>
  <mergeCells count="27">
    <mergeCell ref="AC3:AC4"/>
    <mergeCell ref="AD3:AD4"/>
    <mergeCell ref="AE3:AE4"/>
    <mergeCell ref="W2:AE2"/>
    <mergeCell ref="R2:V2"/>
    <mergeCell ref="S3:S4"/>
    <mergeCell ref="T3:T4"/>
    <mergeCell ref="U3:U4"/>
    <mergeCell ref="V3:V4"/>
    <mergeCell ref="Q3:Q4"/>
    <mergeCell ref="C2:Q2"/>
    <mergeCell ref="R3:R4"/>
    <mergeCell ref="W3:W4"/>
    <mergeCell ref="X3:X4"/>
    <mergeCell ref="Y3:Y4"/>
    <mergeCell ref="Z3:Z4"/>
    <mergeCell ref="AA3:AA4"/>
    <mergeCell ref="AB3:AB4"/>
    <mergeCell ref="D3:G3"/>
    <mergeCell ref="H3:K3"/>
    <mergeCell ref="C3:C4"/>
    <mergeCell ref="B2:B4"/>
    <mergeCell ref="L3:L4"/>
    <mergeCell ref="M3:M4"/>
    <mergeCell ref="N3:N4"/>
    <mergeCell ref="O3:O4"/>
    <mergeCell ref="P3:P4"/>
  </mergeCells>
  <phoneticPr fontId="3" type="noConversion"/>
  <pageMargins left="0.25" right="0.25" top="0.75" bottom="0.75" header="0.3" footer="0.3"/>
  <pageSetup paperSize="9" scale="78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I40"/>
  <sheetViews>
    <sheetView workbookViewId="0"/>
  </sheetViews>
  <sheetFormatPr defaultRowHeight="13.5" x14ac:dyDescent="0.3"/>
  <cols>
    <col min="1" max="3" width="9" style="1"/>
    <col min="4" max="4" width="11.875" style="2" customWidth="1"/>
    <col min="5" max="5" width="10.125" style="2" customWidth="1"/>
    <col min="6" max="6" width="9.75" style="2" customWidth="1"/>
    <col min="7" max="9" width="7.75" style="1" customWidth="1"/>
    <col min="10" max="16384" width="9" style="1"/>
  </cols>
  <sheetData>
    <row r="1" spans="2:9" ht="15" customHeight="1" x14ac:dyDescent="0.3">
      <c r="D1" s="13"/>
      <c r="E1" s="13"/>
      <c r="F1" s="13"/>
      <c r="G1" s="30" t="s">
        <v>41</v>
      </c>
      <c r="H1" s="31"/>
      <c r="I1" s="29"/>
    </row>
    <row r="2" spans="2:9" ht="15" customHeight="1" x14ac:dyDescent="0.3">
      <c r="D2" s="27"/>
      <c r="E2" s="28"/>
      <c r="F2" s="28"/>
      <c r="G2" s="4"/>
      <c r="H2" s="13"/>
      <c r="I2" s="13"/>
    </row>
    <row r="3" spans="2:9" ht="15" customHeight="1" x14ac:dyDescent="0.3">
      <c r="B3" s="1" t="s">
        <v>9</v>
      </c>
      <c r="D3" s="11" t="s">
        <v>14</v>
      </c>
      <c r="E3" s="10"/>
      <c r="F3" s="10"/>
      <c r="G3" s="8">
        <v>1.2</v>
      </c>
      <c r="H3" s="13"/>
      <c r="I3" s="13"/>
    </row>
    <row r="4" spans="2:9" ht="15" customHeight="1" x14ac:dyDescent="0.3">
      <c r="D4" s="11" t="s">
        <v>15</v>
      </c>
      <c r="E4" s="10"/>
      <c r="F4" s="10"/>
      <c r="G4" s="8">
        <v>0.5</v>
      </c>
      <c r="H4" s="7">
        <v>0.2</v>
      </c>
      <c r="I4" s="13">
        <f>1-G4-H4</f>
        <v>0.3</v>
      </c>
    </row>
    <row r="5" spans="2:9" ht="15" customHeight="1" x14ac:dyDescent="0.3">
      <c r="C5" s="1" t="s">
        <v>42</v>
      </c>
      <c r="D5" s="32" t="s">
        <v>18</v>
      </c>
      <c r="E5" s="33"/>
      <c r="F5" s="33"/>
      <c r="G5" s="34">
        <f>F16*G16+F17*G17+F18*G18</f>
        <v>0.79700000000000004</v>
      </c>
      <c r="H5" s="34"/>
      <c r="I5" s="34"/>
    </row>
    <row r="6" spans="2:9" ht="15" customHeight="1" x14ac:dyDescent="0.3">
      <c r="D6" s="11" t="s">
        <v>17</v>
      </c>
      <c r="E6" s="10"/>
      <c r="F6" s="10"/>
      <c r="G6" s="8">
        <v>0.6</v>
      </c>
      <c r="H6" s="7">
        <v>0.2</v>
      </c>
      <c r="I6" s="13">
        <f>1-G6-H6</f>
        <v>0.2</v>
      </c>
    </row>
    <row r="7" spans="2:9" ht="15" customHeight="1" x14ac:dyDescent="0.3">
      <c r="C7" s="1" t="s">
        <v>42</v>
      </c>
      <c r="D7" s="32" t="s">
        <v>19</v>
      </c>
      <c r="E7" s="35"/>
      <c r="F7" s="35"/>
      <c r="G7" s="36">
        <f>G5*G3</f>
        <v>0.95640000000000003</v>
      </c>
      <c r="H7" s="34"/>
      <c r="I7" s="34"/>
    </row>
    <row r="8" spans="2:9" ht="15" customHeight="1" x14ac:dyDescent="0.3">
      <c r="D8" s="11" t="s">
        <v>21</v>
      </c>
      <c r="E8" s="10"/>
      <c r="F8" s="10"/>
      <c r="G8" s="8">
        <v>550</v>
      </c>
      <c r="H8" s="8">
        <v>550</v>
      </c>
      <c r="I8" s="13"/>
    </row>
    <row r="9" spans="2:9" ht="15" customHeight="1" x14ac:dyDescent="0.3">
      <c r="D9" s="11" t="s">
        <v>33</v>
      </c>
      <c r="E9" s="10"/>
      <c r="F9" s="10"/>
      <c r="G9" s="8">
        <v>10</v>
      </c>
      <c r="H9" s="8">
        <v>10</v>
      </c>
      <c r="I9" s="13"/>
    </row>
    <row r="10" spans="2:9" ht="15" customHeight="1" x14ac:dyDescent="0.3">
      <c r="D10" s="11" t="s">
        <v>45</v>
      </c>
      <c r="E10" s="10"/>
      <c r="F10" s="10"/>
      <c r="G10" s="8">
        <v>10</v>
      </c>
      <c r="H10" s="7">
        <v>3</v>
      </c>
      <c r="I10" s="7">
        <v>3</v>
      </c>
    </row>
    <row r="11" spans="2:9" ht="15" customHeight="1" x14ac:dyDescent="0.3">
      <c r="D11" s="11" t="s">
        <v>46</v>
      </c>
      <c r="E11" s="10"/>
      <c r="F11" s="10"/>
      <c r="G11" s="8">
        <v>10</v>
      </c>
      <c r="H11" s="7">
        <v>1</v>
      </c>
      <c r="I11" s="7">
        <v>1</v>
      </c>
    </row>
    <row r="12" spans="2:9" ht="15" customHeight="1" x14ac:dyDescent="0.3">
      <c r="D12" s="37"/>
      <c r="E12" s="38"/>
      <c r="F12" s="38"/>
      <c r="G12" s="39"/>
      <c r="H12" s="40"/>
      <c r="I12" s="40"/>
    </row>
    <row r="13" spans="2:9" ht="15" customHeight="1" x14ac:dyDescent="0.3">
      <c r="D13" s="37"/>
      <c r="E13" s="38"/>
      <c r="F13" s="38"/>
      <c r="G13" s="39"/>
      <c r="H13" s="40"/>
      <c r="I13" s="40"/>
    </row>
    <row r="14" spans="2:9" ht="15" customHeight="1" x14ac:dyDescent="0.3">
      <c r="D14" s="12"/>
      <c r="E14" s="14"/>
      <c r="F14" s="14"/>
      <c r="G14" s="16"/>
      <c r="H14" s="14"/>
      <c r="I14" s="14"/>
    </row>
    <row r="15" spans="2:9" ht="27" x14ac:dyDescent="0.3">
      <c r="B15" s="13" t="s">
        <v>10</v>
      </c>
      <c r="C15" s="13" t="s">
        <v>6</v>
      </c>
      <c r="D15" s="13" t="s">
        <v>11</v>
      </c>
      <c r="E15" s="13" t="s">
        <v>12</v>
      </c>
      <c r="F15" s="9" t="s">
        <v>13</v>
      </c>
      <c r="G15" s="13"/>
      <c r="H15" s="13"/>
      <c r="I15" s="13"/>
    </row>
    <row r="16" spans="2:9" s="5" customFormat="1" ht="15" customHeight="1" x14ac:dyDescent="0.3">
      <c r="B16" s="18" t="s">
        <v>7</v>
      </c>
      <c r="C16" s="18" t="s">
        <v>8</v>
      </c>
      <c r="D16" s="3" t="s">
        <v>24</v>
      </c>
      <c r="E16" s="7" t="s">
        <v>3</v>
      </c>
      <c r="F16" s="7">
        <v>1.1399999999999999</v>
      </c>
      <c r="G16" s="3">
        <f>G4</f>
        <v>0.5</v>
      </c>
      <c r="H16" s="3"/>
      <c r="I16" s="3"/>
    </row>
    <row r="17" spans="2:9" s="5" customFormat="1" ht="15" customHeight="1" x14ac:dyDescent="0.3">
      <c r="B17" s="19"/>
      <c r="C17" s="19"/>
      <c r="D17" s="3" t="s">
        <v>25</v>
      </c>
      <c r="E17" s="7" t="s">
        <v>4</v>
      </c>
      <c r="F17" s="7">
        <v>0.97</v>
      </c>
      <c r="G17" s="3">
        <f>H4</f>
        <v>0.2</v>
      </c>
      <c r="H17" s="3"/>
      <c r="I17" s="3"/>
    </row>
    <row r="18" spans="2:9" s="5" customFormat="1" ht="15" customHeight="1" x14ac:dyDescent="0.3">
      <c r="B18" s="19"/>
      <c r="C18" s="20"/>
      <c r="D18" s="3" t="s">
        <v>26</v>
      </c>
      <c r="E18" s="7" t="s">
        <v>5</v>
      </c>
      <c r="F18" s="7">
        <v>0.11</v>
      </c>
      <c r="G18" s="3">
        <f>I4</f>
        <v>0.3</v>
      </c>
      <c r="H18" s="3"/>
      <c r="I18" s="3"/>
    </row>
    <row r="19" spans="2:9" ht="15" customHeight="1" x14ac:dyDescent="0.3">
      <c r="B19" s="19"/>
      <c r="C19" s="21" t="s">
        <v>16</v>
      </c>
      <c r="D19" s="3" t="s">
        <v>27</v>
      </c>
      <c r="E19" s="7"/>
      <c r="F19" s="7">
        <v>3.96</v>
      </c>
      <c r="G19" s="13">
        <f>G6*G7/F19</f>
        <v>0.1449090909090909</v>
      </c>
      <c r="H19" s="13"/>
      <c r="I19" s="13"/>
    </row>
    <row r="20" spans="2:9" ht="15" customHeight="1" x14ac:dyDescent="0.3">
      <c r="B20" s="19"/>
      <c r="C20" s="22"/>
      <c r="D20" s="13"/>
      <c r="E20" s="7"/>
      <c r="F20" s="13"/>
      <c r="G20" s="13"/>
      <c r="H20" s="13"/>
      <c r="I20" s="13"/>
    </row>
    <row r="21" spans="2:9" ht="15" customHeight="1" x14ac:dyDescent="0.3">
      <c r="B21" s="19"/>
      <c r="C21" s="23"/>
      <c r="D21" s="13"/>
      <c r="E21" s="7"/>
      <c r="F21" s="13"/>
      <c r="G21" s="13"/>
      <c r="H21" s="13"/>
      <c r="I21" s="13"/>
    </row>
    <row r="22" spans="2:9" ht="15" customHeight="1" x14ac:dyDescent="0.3">
      <c r="B22" s="19"/>
      <c r="C22" s="13" t="s">
        <v>20</v>
      </c>
      <c r="D22" s="13" t="s">
        <v>1</v>
      </c>
      <c r="E22" s="7" t="s">
        <v>2</v>
      </c>
      <c r="F22" s="6"/>
      <c r="G22" s="13">
        <f>SUM(G16:G21)*(G8/1000000)</f>
        <v>6.2970000000000007E-4</v>
      </c>
      <c r="H22" s="13"/>
      <c r="I22" s="13"/>
    </row>
    <row r="23" spans="2:9" ht="15" customHeight="1" x14ac:dyDescent="0.3">
      <c r="B23" s="19"/>
      <c r="C23" s="13" t="s">
        <v>22</v>
      </c>
      <c r="D23" s="13" t="s">
        <v>28</v>
      </c>
      <c r="E23" s="7"/>
      <c r="F23" s="13"/>
      <c r="G23" s="13">
        <f>SUM(G16:G21)*(G9/100)</f>
        <v>0.11449090909090909</v>
      </c>
      <c r="H23" s="13"/>
      <c r="I23" s="13"/>
    </row>
    <row r="24" spans="2:9" ht="15" customHeight="1" x14ac:dyDescent="0.3">
      <c r="B24" s="19"/>
      <c r="C24" s="13" t="s">
        <v>23</v>
      </c>
      <c r="D24" s="13" t="s">
        <v>29</v>
      </c>
      <c r="E24" s="7"/>
      <c r="F24" s="13"/>
      <c r="G24" s="13">
        <f>SUM(G16:G21)*(G10/100)</f>
        <v>0.11449090909090909</v>
      </c>
      <c r="H24" s="13"/>
      <c r="I24" s="13"/>
    </row>
    <row r="25" spans="2:9" ht="15" customHeight="1" x14ac:dyDescent="0.3">
      <c r="B25" s="19"/>
      <c r="C25" s="15" t="s">
        <v>43</v>
      </c>
      <c r="D25" s="13" t="s">
        <v>44</v>
      </c>
      <c r="E25" s="7"/>
      <c r="F25" s="13"/>
      <c r="G25" s="13">
        <f>SUM(G16:G21)*(G11/100)</f>
        <v>0.11449090909090909</v>
      </c>
      <c r="H25" s="13"/>
      <c r="I25" s="13"/>
    </row>
    <row r="26" spans="2:9" ht="15" customHeight="1" x14ac:dyDescent="0.3">
      <c r="B26" s="19"/>
      <c r="C26" s="24" t="s">
        <v>38</v>
      </c>
      <c r="D26" s="25"/>
      <c r="E26" s="25"/>
      <c r="F26" s="26"/>
      <c r="G26" s="13">
        <f>SUM(G16:G25)</f>
        <v>1.4890115181818184</v>
      </c>
      <c r="H26" s="13"/>
      <c r="I26" s="13"/>
    </row>
    <row r="27" spans="2:9" ht="15" customHeight="1" x14ac:dyDescent="0.3">
      <c r="B27" s="20"/>
      <c r="C27" s="24" t="s">
        <v>39</v>
      </c>
      <c r="D27" s="25"/>
      <c r="E27" s="25"/>
      <c r="F27" s="26"/>
      <c r="G27" s="13">
        <f>G26-G23</f>
        <v>1.3745206090909092</v>
      </c>
      <c r="H27" s="13"/>
      <c r="I27" s="13"/>
    </row>
    <row r="28" spans="2:9" ht="15" customHeight="1" x14ac:dyDescent="0.3">
      <c r="B28" s="21" t="s">
        <v>34</v>
      </c>
      <c r="C28" s="21" t="s">
        <v>16</v>
      </c>
      <c r="D28" s="13" t="s">
        <v>30</v>
      </c>
      <c r="E28" s="7" t="s">
        <v>0</v>
      </c>
      <c r="F28" s="7">
        <v>0.4</v>
      </c>
      <c r="G28" s="13">
        <f>H6*G7/F28</f>
        <v>0.47820000000000001</v>
      </c>
      <c r="H28" s="13"/>
      <c r="I28" s="13"/>
    </row>
    <row r="29" spans="2:9" ht="15" customHeight="1" x14ac:dyDescent="0.3">
      <c r="B29" s="22"/>
      <c r="C29" s="22"/>
      <c r="D29" s="13" t="s">
        <v>31</v>
      </c>
      <c r="E29" s="7"/>
      <c r="F29" s="7">
        <v>1.2</v>
      </c>
      <c r="G29" s="13">
        <f>I6*G7/F29</f>
        <v>0.15940000000000001</v>
      </c>
      <c r="H29" s="13"/>
      <c r="I29" s="13"/>
    </row>
    <row r="30" spans="2:9" ht="15" customHeight="1" x14ac:dyDescent="0.3">
      <c r="B30" s="22"/>
      <c r="C30" s="23"/>
      <c r="D30" s="13"/>
      <c r="E30" s="7"/>
      <c r="F30" s="13"/>
      <c r="G30" s="13"/>
      <c r="H30" s="13"/>
      <c r="I30" s="13"/>
    </row>
    <row r="31" spans="2:9" ht="15" customHeight="1" x14ac:dyDescent="0.3">
      <c r="B31" s="22"/>
      <c r="C31" s="13" t="s">
        <v>20</v>
      </c>
      <c r="D31" s="13" t="s">
        <v>1</v>
      </c>
      <c r="E31" s="7" t="s">
        <v>2</v>
      </c>
      <c r="F31" s="6"/>
      <c r="G31" s="13">
        <f>(SUM(G28:G30)+SUM(G16:G21))*(H8/1000000)</f>
        <v>9.803800000000001E-4</v>
      </c>
      <c r="H31" s="13"/>
      <c r="I31" s="13"/>
    </row>
    <row r="32" spans="2:9" ht="15" customHeight="1" x14ac:dyDescent="0.3">
      <c r="B32" s="22"/>
      <c r="C32" s="13" t="s">
        <v>22</v>
      </c>
      <c r="D32" s="13" t="s">
        <v>32</v>
      </c>
      <c r="E32" s="7"/>
      <c r="F32" s="13"/>
      <c r="G32" s="13">
        <f>(SUM(G28:G30)+SUM(G16:G21))*(H9/100)</f>
        <v>0.17825090909090913</v>
      </c>
      <c r="H32" s="13"/>
      <c r="I32" s="13"/>
    </row>
    <row r="33" spans="2:9" ht="15" customHeight="1" x14ac:dyDescent="0.3">
      <c r="B33" s="22"/>
      <c r="C33" s="13" t="s">
        <v>23</v>
      </c>
      <c r="D33" s="13" t="s">
        <v>29</v>
      </c>
      <c r="E33" s="7"/>
      <c r="F33" s="13"/>
      <c r="G33" s="13">
        <f>(SUM(G28:G30)+SUM(G16:G21))*(H10/100)</f>
        <v>5.3475272727272732E-2</v>
      </c>
      <c r="H33" s="13"/>
      <c r="I33" s="13"/>
    </row>
    <row r="34" spans="2:9" ht="15" customHeight="1" x14ac:dyDescent="0.3">
      <c r="B34" s="22"/>
      <c r="C34" s="15" t="s">
        <v>43</v>
      </c>
      <c r="D34" s="13" t="s">
        <v>44</v>
      </c>
      <c r="E34" s="7"/>
      <c r="F34" s="13"/>
      <c r="G34" s="13">
        <f>(SUM(G28:G30)+SUM(G16:G21))*(H11/100)</f>
        <v>1.7825090909090912E-2</v>
      </c>
      <c r="H34" s="13"/>
      <c r="I34" s="13"/>
    </row>
    <row r="35" spans="2:9" ht="15" customHeight="1" x14ac:dyDescent="0.3">
      <c r="B35" s="22"/>
      <c r="C35" s="24" t="s">
        <v>38</v>
      </c>
      <c r="D35" s="25"/>
      <c r="E35" s="25"/>
      <c r="F35" s="26"/>
      <c r="G35" s="13">
        <f>SUM(G28:G34)+G26</f>
        <v>2.3771431709090911</v>
      </c>
      <c r="H35" s="13"/>
      <c r="I35" s="13"/>
    </row>
    <row r="36" spans="2:9" ht="15" customHeight="1" x14ac:dyDescent="0.3">
      <c r="B36" s="22"/>
      <c r="C36" s="24" t="s">
        <v>39</v>
      </c>
      <c r="D36" s="25"/>
      <c r="E36" s="25"/>
      <c r="F36" s="26"/>
      <c r="G36" s="13">
        <f>G35-G32-G23</f>
        <v>2.0844013527272729</v>
      </c>
      <c r="H36" s="13"/>
      <c r="I36" s="13"/>
    </row>
    <row r="37" spans="2:9" ht="15" customHeight="1" x14ac:dyDescent="0.3">
      <c r="B37" s="17" t="s">
        <v>35</v>
      </c>
      <c r="C37" s="13" t="s">
        <v>23</v>
      </c>
      <c r="D37" s="13" t="s">
        <v>29</v>
      </c>
      <c r="E37" s="7"/>
      <c r="F37" s="13"/>
      <c r="G37" s="13"/>
      <c r="H37" s="13"/>
      <c r="I37" s="13"/>
    </row>
    <row r="38" spans="2:9" ht="15" customHeight="1" x14ac:dyDescent="0.3">
      <c r="B38" s="17"/>
      <c r="C38" s="15" t="s">
        <v>43</v>
      </c>
      <c r="D38" s="13" t="s">
        <v>44</v>
      </c>
      <c r="E38" s="7"/>
      <c r="F38" s="13"/>
      <c r="G38" s="13"/>
      <c r="H38" s="13"/>
      <c r="I38" s="13"/>
    </row>
    <row r="39" spans="2:9" ht="15" customHeight="1" x14ac:dyDescent="0.3">
      <c r="B39" s="17"/>
      <c r="C39" s="13" t="s">
        <v>36</v>
      </c>
      <c r="D39" s="13" t="s">
        <v>37</v>
      </c>
      <c r="E39" s="7"/>
      <c r="F39" s="13"/>
      <c r="G39" s="13"/>
      <c r="H39" s="13"/>
      <c r="I39" s="13"/>
    </row>
    <row r="40" spans="2:9" ht="15" customHeight="1" x14ac:dyDescent="0.3">
      <c r="B40" s="17"/>
      <c r="C40" s="17" t="s">
        <v>40</v>
      </c>
      <c r="D40" s="17"/>
      <c r="E40" s="17"/>
      <c r="F40" s="17"/>
      <c r="G40" s="13"/>
      <c r="H40" s="13"/>
      <c r="I40" s="13"/>
    </row>
  </sheetData>
  <mergeCells count="12">
    <mergeCell ref="B28:B36"/>
    <mergeCell ref="C28:C30"/>
    <mergeCell ref="C35:F35"/>
    <mergeCell ref="C36:F36"/>
    <mergeCell ref="B37:B40"/>
    <mergeCell ref="C40:F40"/>
    <mergeCell ref="G1:I1"/>
    <mergeCell ref="B16:B27"/>
    <mergeCell ref="C16:C18"/>
    <mergeCell ref="C19:C21"/>
    <mergeCell ref="C26:F26"/>
    <mergeCell ref="C27:F27"/>
  </mergeCells>
  <phoneticPr fontId="3" type="noConversion"/>
  <pageMargins left="0.25" right="0.25" top="0.75" bottom="0.75" header="0.3" footer="0.3"/>
  <pageSetup paperSize="9" scale="7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일반</vt:lpstr>
      <vt:lpstr>일반-물성탭</vt:lpstr>
      <vt:lpstr>선반응(보류)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2026-03-18T04:04:21Z</dcterms:created>
  <dcterms:modified xsi:type="dcterms:W3CDTF">2026-03-23T08:39:19Z</dcterms:modified>
</cp:coreProperties>
</file>